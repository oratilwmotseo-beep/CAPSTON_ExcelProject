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atile Motseo\OneDrive\"/>
    </mc:Choice>
  </mc:AlternateContent>
  <xr:revisionPtr revIDLastSave="0" documentId="13_ncr:1_{655ABE24-DC80-440F-A305-3727BF2CA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Data" sheetId="6" r:id="rId1"/>
    <sheet name="Sales Data" sheetId="7" r:id="rId2"/>
    <sheet name="Products" sheetId="8" r:id="rId3"/>
    <sheet name="Finance_Data" sheetId="10" r:id="rId4"/>
    <sheet name="Operational_Data" sheetId="11" r:id="rId5"/>
    <sheet name="Customer_List" sheetId="12" r:id="rId6"/>
  </sheets>
  <definedNames>
    <definedName name="DNR">OFFSET('Full Data'!$J$3,0,0,COUNTA('Full Data'!$I:$I)-1,1)</definedName>
    <definedName name="ExternalData_4" localSheetId="0" hidden="1">'Full Data'!$A$2:$H$92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ales_Q1_16f95e8a-b682-499c-ab6a-f57066517d36" name="Sales_Q1" connection="Query - Sales_Q1"/>
          <x15:modelTable id="Sales_Q2_ffabdd84-8b5c-4b53-9b1c-c3c8b4596f04" name="Sales_Q2" connection="Query - Sales_Q2"/>
          <x15:modelTable id="Sales_Q3_b6748610-814a-4351-a748-9caad18222d3" name="Sales_Q3" connection="Query - Sales_Q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6" l="1" a="1"/>
  <c r="W3" i="6" s="1"/>
  <c r="Y5" i="6"/>
  <c r="Y4" i="6"/>
  <c r="U10" i="6"/>
  <c r="U11" i="6"/>
  <c r="U12" i="6"/>
  <c r="U14" i="6"/>
  <c r="U16" i="6"/>
  <c r="U20" i="6"/>
  <c r="U22" i="6"/>
  <c r="U24" i="6"/>
  <c r="U28" i="6"/>
  <c r="U30" i="6"/>
  <c r="U38" i="6"/>
  <c r="U46" i="6"/>
  <c r="U47" i="6"/>
  <c r="U51" i="6"/>
  <c r="U54" i="6"/>
  <c r="U58" i="6"/>
  <c r="U60" i="6"/>
  <c r="U62" i="6"/>
  <c r="U66" i="6"/>
  <c r="U68" i="6"/>
  <c r="U74" i="6"/>
  <c r="U76" i="6"/>
  <c r="U79" i="6"/>
  <c r="U82" i="6"/>
  <c r="U83" i="6"/>
  <c r="U84" i="6"/>
  <c r="U92" i="6"/>
  <c r="Y6" i="6"/>
  <c r="Y3" i="6"/>
  <c r="X6" i="6"/>
  <c r="X5" i="6"/>
  <c r="X4" i="6"/>
  <c r="X3" i="6"/>
  <c r="P4" i="6"/>
  <c r="P5" i="6"/>
  <c r="P6" i="6"/>
  <c r="P11" i="6"/>
  <c r="P12" i="6"/>
  <c r="P13" i="6"/>
  <c r="P14" i="6"/>
  <c r="P16" i="6"/>
  <c r="P19" i="6"/>
  <c r="P20" i="6"/>
  <c r="P21" i="6"/>
  <c r="P22" i="6"/>
  <c r="P24" i="6"/>
  <c r="P27" i="6"/>
  <c r="P28" i="6"/>
  <c r="P29" i="6"/>
  <c r="P30" i="6"/>
  <c r="P32" i="6"/>
  <c r="P35" i="6"/>
  <c r="P36" i="6"/>
  <c r="P37" i="6"/>
  <c r="P38" i="6"/>
  <c r="P40" i="6"/>
  <c r="P42" i="6"/>
  <c r="P43" i="6"/>
  <c r="P44" i="6"/>
  <c r="P45" i="6"/>
  <c r="P46" i="6"/>
  <c r="P48" i="6"/>
  <c r="P50" i="6"/>
  <c r="P51" i="6"/>
  <c r="P52" i="6"/>
  <c r="P53" i="6"/>
  <c r="P54" i="6"/>
  <c r="P56" i="6"/>
  <c r="P58" i="6"/>
  <c r="P59" i="6"/>
  <c r="P60" i="6"/>
  <c r="P61" i="6"/>
  <c r="P62" i="6"/>
  <c r="P64" i="6"/>
  <c r="P66" i="6"/>
  <c r="P67" i="6"/>
  <c r="P68" i="6"/>
  <c r="P69" i="6"/>
  <c r="P70" i="6"/>
  <c r="P72" i="6"/>
  <c r="P74" i="6"/>
  <c r="P75" i="6"/>
  <c r="P76" i="6"/>
  <c r="P77" i="6"/>
  <c r="P78" i="6"/>
  <c r="P80" i="6"/>
  <c r="P82" i="6"/>
  <c r="P83" i="6"/>
  <c r="P84" i="6"/>
  <c r="P85" i="6"/>
  <c r="P86" i="6"/>
  <c r="P88" i="6"/>
  <c r="P90" i="6"/>
  <c r="P91" i="6"/>
  <c r="P92" i="6"/>
  <c r="O4" i="6"/>
  <c r="O5" i="6"/>
  <c r="O10" i="6"/>
  <c r="O11" i="6"/>
  <c r="O12" i="6"/>
  <c r="O13" i="6"/>
  <c r="O19" i="6"/>
  <c r="O20" i="6"/>
  <c r="O21" i="6"/>
  <c r="O22" i="6"/>
  <c r="O27" i="6"/>
  <c r="O28" i="6"/>
  <c r="O29" i="6"/>
  <c r="O30" i="6"/>
  <c r="O35" i="6"/>
  <c r="O36" i="6"/>
  <c r="O37" i="6"/>
  <c r="O38" i="6"/>
  <c r="O43" i="6"/>
  <c r="O44" i="6"/>
  <c r="O45" i="6"/>
  <c r="O46" i="6"/>
  <c r="O51" i="6"/>
  <c r="O52" i="6"/>
  <c r="O53" i="6"/>
  <c r="O54" i="6"/>
  <c r="O59" i="6"/>
  <c r="O60" i="6"/>
  <c r="O61" i="6"/>
  <c r="O62" i="6"/>
  <c r="O67" i="6"/>
  <c r="O68" i="6"/>
  <c r="O69" i="6"/>
  <c r="O70" i="6"/>
  <c r="O75" i="6"/>
  <c r="O76" i="6"/>
  <c r="O77" i="6"/>
  <c r="O78" i="6"/>
  <c r="O83" i="6"/>
  <c r="O84" i="6"/>
  <c r="O85" i="6"/>
  <c r="O86" i="6"/>
  <c r="O91" i="6"/>
  <c r="O92" i="6"/>
  <c r="P3" i="6"/>
  <c r="O3" i="6"/>
  <c r="C92" i="11"/>
  <c r="P7" i="6" s="1"/>
  <c r="B92" i="11"/>
  <c r="O6" i="6" s="1"/>
  <c r="F2" i="12" a="1"/>
  <c r="F2" i="12" s="1"/>
  <c r="J3" i="6" a="1"/>
  <c r="J3" i="6" s="1"/>
  <c r="J4" i="6" a="1"/>
  <c r="J4" i="6" s="1"/>
  <c r="J5" i="6" a="1"/>
  <c r="J5" i="6" s="1"/>
  <c r="J6" i="6" a="1"/>
  <c r="J6" i="6" s="1"/>
  <c r="J7" i="6" a="1"/>
  <c r="J7" i="6" s="1"/>
  <c r="J8" i="6" a="1"/>
  <c r="J8" i="6" s="1"/>
  <c r="J9" i="6" a="1"/>
  <c r="J9" i="6" s="1"/>
  <c r="J10" i="6" a="1"/>
  <c r="J10" i="6" s="1"/>
  <c r="J11" i="6" a="1"/>
  <c r="J11" i="6" s="1"/>
  <c r="J12" i="6" a="1"/>
  <c r="J12" i="6" s="1"/>
  <c r="J13" i="6" a="1"/>
  <c r="J13" i="6" s="1"/>
  <c r="J14" i="6" a="1"/>
  <c r="J14" i="6" s="1"/>
  <c r="J15" i="6" a="1"/>
  <c r="J15" i="6" s="1"/>
  <c r="J16" i="6" a="1"/>
  <c r="J16" i="6" s="1"/>
  <c r="J17" i="6" a="1"/>
  <c r="J17" i="6" s="1"/>
  <c r="J18" i="6" a="1"/>
  <c r="J18" i="6" s="1"/>
  <c r="J19" i="6" a="1"/>
  <c r="J19" i="6" s="1"/>
  <c r="J20" i="6" a="1"/>
  <c r="J20" i="6" s="1"/>
  <c r="J21" i="6" a="1"/>
  <c r="J21" i="6" s="1"/>
  <c r="J22" i="6" a="1"/>
  <c r="J22" i="6" s="1"/>
  <c r="J23" i="6" a="1"/>
  <c r="J23" i="6" s="1"/>
  <c r="J24" i="6" a="1"/>
  <c r="J24" i="6" s="1"/>
  <c r="J25" i="6" a="1"/>
  <c r="J25" i="6" s="1"/>
  <c r="J26" i="6" a="1"/>
  <c r="J26" i="6" s="1"/>
  <c r="J27" i="6" a="1"/>
  <c r="J27" i="6" s="1"/>
  <c r="J28" i="6" a="1"/>
  <c r="J28" i="6" s="1"/>
  <c r="J29" i="6" a="1"/>
  <c r="J29" i="6" s="1"/>
  <c r="J30" i="6" a="1"/>
  <c r="J30" i="6" s="1"/>
  <c r="J31" i="6" a="1"/>
  <c r="J31" i="6" s="1"/>
  <c r="J32" i="6" a="1"/>
  <c r="J32" i="6" s="1"/>
  <c r="J33" i="6" a="1"/>
  <c r="J33" i="6" s="1"/>
  <c r="J34" i="6" a="1"/>
  <c r="J34" i="6" s="1"/>
  <c r="J35" i="6" a="1"/>
  <c r="J35" i="6" s="1"/>
  <c r="J36" i="6" a="1"/>
  <c r="J36" i="6" s="1"/>
  <c r="J37" i="6" a="1"/>
  <c r="J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51" i="6" a="1"/>
  <c r="J51" i="6" s="1"/>
  <c r="J52" i="6" a="1"/>
  <c r="J52" i="6" s="1"/>
  <c r="J53" i="6" a="1"/>
  <c r="J53" i="6" s="1"/>
  <c r="J54" i="6" a="1"/>
  <c r="J54" i="6" s="1"/>
  <c r="J55" i="6" a="1"/>
  <c r="J55" i="6" s="1"/>
  <c r="J56" i="6" a="1"/>
  <c r="J56" i="6" s="1"/>
  <c r="J57" i="6" a="1"/>
  <c r="J57" i="6" s="1"/>
  <c r="J58" i="6" a="1"/>
  <c r="J58" i="6" s="1"/>
  <c r="J59" i="6" a="1"/>
  <c r="J59" i="6" s="1"/>
  <c r="J60" i="6" a="1"/>
  <c r="J60" i="6" s="1"/>
  <c r="J61" i="6" a="1"/>
  <c r="J61" i="6" s="1"/>
  <c r="J62" i="6" a="1"/>
  <c r="J62" i="6" s="1"/>
  <c r="J63" i="6" a="1"/>
  <c r="J63" i="6" s="1"/>
  <c r="J64" i="6" a="1"/>
  <c r="J64" i="6" s="1"/>
  <c r="J65" i="6" a="1"/>
  <c r="J65" i="6" s="1"/>
  <c r="J66" i="6" a="1"/>
  <c r="J66" i="6" s="1"/>
  <c r="J67" i="6" a="1"/>
  <c r="J67" i="6" s="1"/>
  <c r="J68" i="6" a="1"/>
  <c r="J68" i="6" s="1"/>
  <c r="J69" i="6" a="1"/>
  <c r="J69" i="6" s="1"/>
  <c r="J70" i="6" a="1"/>
  <c r="J70" i="6" s="1"/>
  <c r="J71" i="6" a="1"/>
  <c r="J71" i="6" s="1"/>
  <c r="J72" i="6" a="1"/>
  <c r="J72" i="6" s="1"/>
  <c r="J73" i="6" a="1"/>
  <c r="J73" i="6" s="1"/>
  <c r="J74" i="6" a="1"/>
  <c r="J74" i="6" s="1"/>
  <c r="J75" i="6" a="1"/>
  <c r="J75" i="6" s="1"/>
  <c r="J76" i="6" a="1"/>
  <c r="J76" i="6" s="1"/>
  <c r="J77" i="6" a="1"/>
  <c r="J77" i="6" s="1"/>
  <c r="J78" i="6" a="1"/>
  <c r="J78" i="6" s="1"/>
  <c r="J79" i="6" a="1"/>
  <c r="J79" i="6" s="1"/>
  <c r="J80" i="6" a="1"/>
  <c r="J80" i="6" s="1"/>
  <c r="J81" i="6" a="1"/>
  <c r="J81" i="6" s="1"/>
  <c r="J82" i="6" a="1"/>
  <c r="J82" i="6" s="1"/>
  <c r="J83" i="6" a="1"/>
  <c r="J83" i="6" s="1"/>
  <c r="J84" i="6" a="1"/>
  <c r="J84" i="6" s="1"/>
  <c r="J85" i="6" a="1"/>
  <c r="J85" i="6" s="1"/>
  <c r="J86" i="6" a="1"/>
  <c r="J86" i="6" s="1"/>
  <c r="J87" i="6" a="1"/>
  <c r="J87" i="6" s="1"/>
  <c r="J88" i="6" a="1"/>
  <c r="J88" i="6" s="1"/>
  <c r="J89" i="6" a="1"/>
  <c r="J89" i="6" s="1"/>
  <c r="J90" i="6" a="1"/>
  <c r="J90" i="6" s="1"/>
  <c r="J91" i="6" a="1"/>
  <c r="J91" i="6" s="1"/>
  <c r="J92" i="6" a="1"/>
  <c r="J92" i="6" s="1"/>
  <c r="J2" i="6" a="1"/>
  <c r="J2" i="6" s="1"/>
  <c r="I4" i="6"/>
  <c r="N4" i="6" s="1"/>
  <c r="I5" i="6"/>
  <c r="N5" i="6" s="1"/>
  <c r="I6" i="6"/>
  <c r="I7" i="6"/>
  <c r="I8" i="6"/>
  <c r="S8" i="6" s="1"/>
  <c r="I9" i="6"/>
  <c r="S9" i="6" s="1"/>
  <c r="I10" i="6"/>
  <c r="T10" i="6" s="1"/>
  <c r="I11" i="6"/>
  <c r="T11" i="6" s="1"/>
  <c r="I12" i="6"/>
  <c r="N12" i="6" s="1"/>
  <c r="I13" i="6"/>
  <c r="N13" i="6" s="1"/>
  <c r="I14" i="6"/>
  <c r="I15" i="6"/>
  <c r="I16" i="6"/>
  <c r="S16" i="6" s="1"/>
  <c r="I17" i="6"/>
  <c r="S17" i="6" s="1"/>
  <c r="I18" i="6"/>
  <c r="T18" i="6" s="1"/>
  <c r="I19" i="6"/>
  <c r="T19" i="6" s="1"/>
  <c r="I20" i="6"/>
  <c r="N20" i="6" s="1"/>
  <c r="I21" i="6"/>
  <c r="N21" i="6" s="1"/>
  <c r="I22" i="6"/>
  <c r="I23" i="6"/>
  <c r="I24" i="6"/>
  <c r="S24" i="6" s="1"/>
  <c r="I25" i="6"/>
  <c r="S25" i="6" s="1"/>
  <c r="I26" i="6"/>
  <c r="T26" i="6" s="1"/>
  <c r="I27" i="6"/>
  <c r="T27" i="6" s="1"/>
  <c r="I28" i="6"/>
  <c r="N28" i="6" s="1"/>
  <c r="I29" i="6"/>
  <c r="N29" i="6" s="1"/>
  <c r="I30" i="6"/>
  <c r="I31" i="6"/>
  <c r="I32" i="6"/>
  <c r="S32" i="6" s="1"/>
  <c r="I33" i="6"/>
  <c r="S33" i="6" s="1"/>
  <c r="I34" i="6"/>
  <c r="T34" i="6" s="1"/>
  <c r="I35" i="6"/>
  <c r="T35" i="6" s="1"/>
  <c r="I36" i="6"/>
  <c r="N36" i="6" s="1"/>
  <c r="I37" i="6"/>
  <c r="N37" i="6" s="1"/>
  <c r="I38" i="6"/>
  <c r="I39" i="6"/>
  <c r="I40" i="6"/>
  <c r="S40" i="6" s="1"/>
  <c r="I41" i="6"/>
  <c r="S41" i="6" s="1"/>
  <c r="I42" i="6"/>
  <c r="T42" i="6" s="1"/>
  <c r="I43" i="6"/>
  <c r="T43" i="6" s="1"/>
  <c r="I44" i="6"/>
  <c r="N44" i="6" s="1"/>
  <c r="I45" i="6"/>
  <c r="N45" i="6" s="1"/>
  <c r="I46" i="6"/>
  <c r="I47" i="6"/>
  <c r="I48" i="6"/>
  <c r="S48" i="6" s="1"/>
  <c r="I49" i="6"/>
  <c r="S49" i="6" s="1"/>
  <c r="I50" i="6"/>
  <c r="T50" i="6" s="1"/>
  <c r="I51" i="6"/>
  <c r="T51" i="6" s="1"/>
  <c r="I52" i="6"/>
  <c r="N52" i="6" s="1"/>
  <c r="I53" i="6"/>
  <c r="N53" i="6" s="1"/>
  <c r="I54" i="6"/>
  <c r="I55" i="6"/>
  <c r="I56" i="6"/>
  <c r="S56" i="6" s="1"/>
  <c r="I57" i="6"/>
  <c r="S57" i="6" s="1"/>
  <c r="I58" i="6"/>
  <c r="T58" i="6" s="1"/>
  <c r="I59" i="6"/>
  <c r="T59" i="6" s="1"/>
  <c r="I60" i="6"/>
  <c r="N60" i="6" s="1"/>
  <c r="I61" i="6"/>
  <c r="N61" i="6" s="1"/>
  <c r="I62" i="6"/>
  <c r="I63" i="6"/>
  <c r="I64" i="6"/>
  <c r="S64" i="6" s="1"/>
  <c r="I65" i="6"/>
  <c r="S65" i="6" s="1"/>
  <c r="I66" i="6"/>
  <c r="T66" i="6" s="1"/>
  <c r="I67" i="6"/>
  <c r="T67" i="6" s="1"/>
  <c r="I68" i="6"/>
  <c r="N68" i="6" s="1"/>
  <c r="I69" i="6"/>
  <c r="N69" i="6" s="1"/>
  <c r="I70" i="6"/>
  <c r="I71" i="6"/>
  <c r="I72" i="6"/>
  <c r="S72" i="6" s="1"/>
  <c r="I73" i="6"/>
  <c r="S73" i="6" s="1"/>
  <c r="I74" i="6"/>
  <c r="T74" i="6" s="1"/>
  <c r="I75" i="6"/>
  <c r="T75" i="6" s="1"/>
  <c r="I76" i="6"/>
  <c r="N76" i="6" s="1"/>
  <c r="I77" i="6"/>
  <c r="N77" i="6" s="1"/>
  <c r="I78" i="6"/>
  <c r="I79" i="6"/>
  <c r="I80" i="6"/>
  <c r="S80" i="6" s="1"/>
  <c r="I81" i="6"/>
  <c r="S81" i="6" s="1"/>
  <c r="I82" i="6"/>
  <c r="T82" i="6" s="1"/>
  <c r="I83" i="6"/>
  <c r="T83" i="6" s="1"/>
  <c r="I84" i="6"/>
  <c r="N84" i="6" s="1"/>
  <c r="I85" i="6"/>
  <c r="N85" i="6" s="1"/>
  <c r="I86" i="6"/>
  <c r="I87" i="6"/>
  <c r="I88" i="6"/>
  <c r="S88" i="6" s="1"/>
  <c r="I89" i="6"/>
  <c r="S89" i="6" s="1"/>
  <c r="I90" i="6"/>
  <c r="T90" i="6" s="1"/>
  <c r="I91" i="6"/>
  <c r="T91" i="6" s="1"/>
  <c r="I92" i="6"/>
  <c r="N92" i="6" s="1"/>
  <c r="I3" i="6"/>
  <c r="N3" i="6" s="1"/>
  <c r="O90" i="6" l="1"/>
  <c r="O82" i="6"/>
  <c r="O74" i="6"/>
  <c r="O66" i="6"/>
  <c r="Q66" i="6" s="1"/>
  <c r="O58" i="6"/>
  <c r="Q58" i="6" s="1"/>
  <c r="O50" i="6"/>
  <c r="Q50" i="6" s="1"/>
  <c r="O42" i="6"/>
  <c r="Q42" i="6" s="1"/>
  <c r="O34" i="6"/>
  <c r="Q34" i="6" s="1"/>
  <c r="O26" i="6"/>
  <c r="O18" i="6"/>
  <c r="O9" i="6"/>
  <c r="P34" i="6"/>
  <c r="P26" i="6"/>
  <c r="P18" i="6"/>
  <c r="P10" i="6"/>
  <c r="Q10" i="6" s="1"/>
  <c r="O14" i="6"/>
  <c r="Q14" i="6" s="1"/>
  <c r="O89" i="6"/>
  <c r="O81" i="6"/>
  <c r="O73" i="6"/>
  <c r="O65" i="6"/>
  <c r="Q65" i="6" s="1"/>
  <c r="O57" i="6"/>
  <c r="O49" i="6"/>
  <c r="O41" i="6"/>
  <c r="O33" i="6"/>
  <c r="O25" i="6"/>
  <c r="O17" i="6"/>
  <c r="O8" i="6"/>
  <c r="P89" i="6"/>
  <c r="P81" i="6"/>
  <c r="P73" i="6"/>
  <c r="P65" i="6"/>
  <c r="P57" i="6"/>
  <c r="Q57" i="6" s="1"/>
  <c r="P49" i="6"/>
  <c r="P41" i="6"/>
  <c r="P33" i="6"/>
  <c r="P25" i="6"/>
  <c r="Q25" i="6" s="1"/>
  <c r="P17" i="6"/>
  <c r="P9" i="6"/>
  <c r="Q9" i="6" s="1"/>
  <c r="O88" i="6"/>
  <c r="Q88" i="6" s="1"/>
  <c r="O80" i="6"/>
  <c r="Q80" i="6" s="1"/>
  <c r="O72" i="6"/>
  <c r="O64" i="6"/>
  <c r="O56" i="6"/>
  <c r="O48" i="6"/>
  <c r="O40" i="6"/>
  <c r="O32" i="6"/>
  <c r="O24" i="6"/>
  <c r="Q24" i="6" s="1"/>
  <c r="O16" i="6"/>
  <c r="Q16" i="6" s="1"/>
  <c r="O7" i="6"/>
  <c r="P8" i="6"/>
  <c r="O87" i="6"/>
  <c r="O79" i="6"/>
  <c r="Q79" i="6" s="1"/>
  <c r="O71" i="6"/>
  <c r="Q71" i="6" s="1"/>
  <c r="O63" i="6"/>
  <c r="Q63" i="6" s="1"/>
  <c r="O55" i="6"/>
  <c r="Q55" i="6" s="1"/>
  <c r="O47" i="6"/>
  <c r="Q47" i="6" s="1"/>
  <c r="O39" i="6"/>
  <c r="O31" i="6"/>
  <c r="O23" i="6"/>
  <c r="O15" i="6"/>
  <c r="Q15" i="6" s="1"/>
  <c r="P87" i="6"/>
  <c r="Q87" i="6" s="1"/>
  <c r="P79" i="6"/>
  <c r="P71" i="6"/>
  <c r="P63" i="6"/>
  <c r="P55" i="6"/>
  <c r="P47" i="6"/>
  <c r="P39" i="6"/>
  <c r="P31" i="6"/>
  <c r="P23" i="6"/>
  <c r="Q23" i="6" s="1"/>
  <c r="P15" i="6"/>
  <c r="U78" i="6"/>
  <c r="U44" i="6"/>
  <c r="U43" i="6"/>
  <c r="U90" i="6"/>
  <c r="U75" i="6"/>
  <c r="U55" i="6"/>
  <c r="U39" i="6"/>
  <c r="U18" i="6"/>
  <c r="U86" i="6"/>
  <c r="U70" i="6"/>
  <c r="U52" i="6"/>
  <c r="U31" i="6"/>
  <c r="U15" i="6"/>
  <c r="U6" i="6"/>
  <c r="U85" i="6"/>
  <c r="U77" i="6"/>
  <c r="U69" i="6"/>
  <c r="U61" i="6"/>
  <c r="U53" i="6"/>
  <c r="U45" i="6"/>
  <c r="U37" i="6"/>
  <c r="U29" i="6"/>
  <c r="U21" i="6"/>
  <c r="U13" i="6"/>
  <c r="U5" i="6"/>
  <c r="U4" i="6"/>
  <c r="U3" i="6"/>
  <c r="U42" i="6"/>
  <c r="U34" i="6"/>
  <c r="U26" i="6"/>
  <c r="U89" i="6"/>
  <c r="U81" i="6"/>
  <c r="U73" i="6"/>
  <c r="U65" i="6"/>
  <c r="U57" i="6"/>
  <c r="U49" i="6"/>
  <c r="U41" i="6"/>
  <c r="U33" i="6"/>
  <c r="U25" i="6"/>
  <c r="U17" i="6"/>
  <c r="U9" i="6"/>
  <c r="U36" i="6"/>
  <c r="U91" i="6"/>
  <c r="U67" i="6"/>
  <c r="U59" i="6"/>
  <c r="U35" i="6"/>
  <c r="U27" i="6"/>
  <c r="U19" i="6"/>
  <c r="U88" i="6"/>
  <c r="U80" i="6"/>
  <c r="U72" i="6"/>
  <c r="U64" i="6"/>
  <c r="U56" i="6"/>
  <c r="U48" i="6"/>
  <c r="U40" i="6"/>
  <c r="U32" i="6"/>
  <c r="U8" i="6"/>
  <c r="U50" i="6"/>
  <c r="U87" i="6"/>
  <c r="U71" i="6"/>
  <c r="U63" i="6"/>
  <c r="U23" i="6"/>
  <c r="U7" i="6"/>
  <c r="Q90" i="6"/>
  <c r="Q82" i="6"/>
  <c r="Q74" i="6"/>
  <c r="Q26" i="6"/>
  <c r="Q18" i="6"/>
  <c r="Q70" i="6"/>
  <c r="Q54" i="6"/>
  <c r="Q44" i="6"/>
  <c r="R87" i="6"/>
  <c r="R71" i="6"/>
  <c r="R63" i="6"/>
  <c r="R47" i="6"/>
  <c r="R39" i="6"/>
  <c r="R31" i="6"/>
  <c r="R23" i="6"/>
  <c r="R15" i="6"/>
  <c r="R7" i="6"/>
  <c r="R79" i="6"/>
  <c r="R55" i="6"/>
  <c r="Q56" i="6"/>
  <c r="Q40" i="6"/>
  <c r="Q32" i="6"/>
  <c r="Q39" i="6"/>
  <c r="Q13" i="6"/>
  <c r="Q89" i="6"/>
  <c r="Q81" i="6"/>
  <c r="Q73" i="6"/>
  <c r="Q49" i="6"/>
  <c r="Q45" i="6"/>
  <c r="Q28" i="6"/>
  <c r="Q12" i="6"/>
  <c r="Q4" i="6"/>
  <c r="Q67" i="6"/>
  <c r="Q59" i="6"/>
  <c r="Q51" i="6"/>
  <c r="Q35" i="6"/>
  <c r="Q19" i="6"/>
  <c r="Q92" i="6"/>
  <c r="Q76" i="6"/>
  <c r="Q68" i="6"/>
  <c r="Q60" i="6"/>
  <c r="Q52" i="6"/>
  <c r="Q36" i="6"/>
  <c r="Q20" i="6"/>
  <c r="Q27" i="6"/>
  <c r="R86" i="6"/>
  <c r="R78" i="6"/>
  <c r="R70" i="6"/>
  <c r="R62" i="6"/>
  <c r="R54" i="6"/>
  <c r="R46" i="6"/>
  <c r="R38" i="6"/>
  <c r="R30" i="6"/>
  <c r="R22" i="6"/>
  <c r="R14" i="6"/>
  <c r="R6" i="6"/>
  <c r="Q83" i="6"/>
  <c r="Q41" i="6"/>
  <c r="Q33" i="6"/>
  <c r="Q72" i="6"/>
  <c r="Q48" i="6"/>
  <c r="Q86" i="6"/>
  <c r="Q22" i="6"/>
  <c r="Q64" i="6"/>
  <c r="Q8" i="6"/>
  <c r="Q31" i="6"/>
  <c r="Q38" i="6"/>
  <c r="Q7" i="6"/>
  <c r="Q77" i="6"/>
  <c r="Q61" i="6"/>
  <c r="Q29" i="6"/>
  <c r="Q5" i="6"/>
  <c r="Q84" i="6"/>
  <c r="Q91" i="6"/>
  <c r="Q75" i="6"/>
  <c r="Q43" i="6"/>
  <c r="Q11" i="6"/>
  <c r="Q3" i="6"/>
  <c r="Q78" i="6"/>
  <c r="Q62" i="6"/>
  <c r="Q46" i="6"/>
  <c r="Q30" i="6"/>
  <c r="Q6" i="6"/>
  <c r="V3" i="6" a="1"/>
  <c r="V3" i="6" s="1"/>
  <c r="Q85" i="6"/>
  <c r="Q69" i="6"/>
  <c r="Q53" i="6"/>
  <c r="Q37" i="6"/>
  <c r="Q21" i="6"/>
  <c r="N91" i="6"/>
  <c r="N83" i="6"/>
  <c r="N75" i="6"/>
  <c r="N67" i="6"/>
  <c r="N59" i="6"/>
  <c r="N51" i="6"/>
  <c r="N43" i="6"/>
  <c r="N35" i="6"/>
  <c r="N27" i="6"/>
  <c r="N19" i="6"/>
  <c r="N11" i="6"/>
  <c r="R3" i="6"/>
  <c r="R85" i="6"/>
  <c r="R77" i="6"/>
  <c r="R69" i="6"/>
  <c r="R61" i="6"/>
  <c r="R53" i="6"/>
  <c r="R45" i="6"/>
  <c r="R37" i="6"/>
  <c r="R29" i="6"/>
  <c r="R21" i="6"/>
  <c r="R13" i="6"/>
  <c r="R5" i="6"/>
  <c r="S87" i="6"/>
  <c r="S79" i="6"/>
  <c r="S71" i="6"/>
  <c r="S63" i="6"/>
  <c r="S55" i="6"/>
  <c r="S47" i="6"/>
  <c r="S39" i="6"/>
  <c r="S31" i="6"/>
  <c r="S23" i="6"/>
  <c r="S15" i="6"/>
  <c r="S7" i="6"/>
  <c r="T89" i="6"/>
  <c r="T81" i="6"/>
  <c r="T73" i="6"/>
  <c r="T65" i="6"/>
  <c r="T57" i="6"/>
  <c r="T49" i="6"/>
  <c r="T41" i="6"/>
  <c r="T33" i="6"/>
  <c r="T25" i="6"/>
  <c r="T17" i="6"/>
  <c r="T9" i="6"/>
  <c r="N90" i="6"/>
  <c r="N82" i="6"/>
  <c r="N74" i="6"/>
  <c r="N66" i="6"/>
  <c r="N58" i="6"/>
  <c r="N50" i="6"/>
  <c r="N42" i="6"/>
  <c r="N34" i="6"/>
  <c r="N26" i="6"/>
  <c r="N18" i="6"/>
  <c r="N10" i="6"/>
  <c r="R92" i="6"/>
  <c r="R84" i="6"/>
  <c r="R76" i="6"/>
  <c r="R68" i="6"/>
  <c r="R60" i="6"/>
  <c r="R52" i="6"/>
  <c r="R44" i="6"/>
  <c r="R36" i="6"/>
  <c r="R28" i="6"/>
  <c r="R20" i="6"/>
  <c r="R12" i="6"/>
  <c r="R4" i="6"/>
  <c r="S86" i="6"/>
  <c r="S78" i="6"/>
  <c r="S70" i="6"/>
  <c r="S62" i="6"/>
  <c r="S54" i="6"/>
  <c r="S46" i="6"/>
  <c r="S38" i="6"/>
  <c r="S30" i="6"/>
  <c r="S22" i="6"/>
  <c r="S14" i="6"/>
  <c r="S6" i="6"/>
  <c r="T88" i="6"/>
  <c r="T80" i="6"/>
  <c r="T72" i="6"/>
  <c r="T64" i="6"/>
  <c r="T56" i="6"/>
  <c r="T48" i="6"/>
  <c r="T40" i="6"/>
  <c r="T32" i="6"/>
  <c r="T24" i="6"/>
  <c r="T16" i="6"/>
  <c r="T8" i="6"/>
  <c r="N89" i="6"/>
  <c r="N81" i="6"/>
  <c r="N73" i="6"/>
  <c r="N65" i="6"/>
  <c r="N57" i="6"/>
  <c r="N49" i="6"/>
  <c r="N41" i="6"/>
  <c r="N33" i="6"/>
  <c r="N25" i="6"/>
  <c r="N17" i="6"/>
  <c r="N9" i="6"/>
  <c r="R91" i="6"/>
  <c r="R83" i="6"/>
  <c r="R75" i="6"/>
  <c r="R67" i="6"/>
  <c r="R59" i="6"/>
  <c r="R51" i="6"/>
  <c r="R43" i="6"/>
  <c r="R35" i="6"/>
  <c r="R27" i="6"/>
  <c r="R19" i="6"/>
  <c r="R11" i="6"/>
  <c r="S3" i="6"/>
  <c r="S85" i="6"/>
  <c r="S77" i="6"/>
  <c r="S69" i="6"/>
  <c r="S61" i="6"/>
  <c r="S53" i="6"/>
  <c r="S45" i="6"/>
  <c r="S37" i="6"/>
  <c r="S29" i="6"/>
  <c r="S21" i="6"/>
  <c r="S13" i="6"/>
  <c r="S5" i="6"/>
  <c r="T87" i="6"/>
  <c r="T79" i="6"/>
  <c r="T71" i="6"/>
  <c r="T63" i="6"/>
  <c r="T55" i="6"/>
  <c r="T47" i="6"/>
  <c r="T39" i="6"/>
  <c r="T31" i="6"/>
  <c r="T23" i="6"/>
  <c r="T15" i="6"/>
  <c r="T7" i="6"/>
  <c r="N88" i="6"/>
  <c r="N80" i="6"/>
  <c r="N72" i="6"/>
  <c r="N64" i="6"/>
  <c r="N56" i="6"/>
  <c r="N48" i="6"/>
  <c r="N40" i="6"/>
  <c r="N32" i="6"/>
  <c r="N24" i="6"/>
  <c r="N16" i="6"/>
  <c r="N8" i="6"/>
  <c r="R90" i="6"/>
  <c r="R82" i="6"/>
  <c r="R74" i="6"/>
  <c r="R66" i="6"/>
  <c r="R58" i="6"/>
  <c r="R50" i="6"/>
  <c r="R42" i="6"/>
  <c r="R34" i="6"/>
  <c r="R26" i="6"/>
  <c r="R18" i="6"/>
  <c r="R10" i="6"/>
  <c r="S92" i="6"/>
  <c r="S84" i="6"/>
  <c r="S76" i="6"/>
  <c r="S68" i="6"/>
  <c r="S60" i="6"/>
  <c r="S52" i="6"/>
  <c r="S44" i="6"/>
  <c r="S36" i="6"/>
  <c r="S28" i="6"/>
  <c r="S20" i="6"/>
  <c r="S12" i="6"/>
  <c r="S4" i="6"/>
  <c r="T86" i="6"/>
  <c r="T78" i="6"/>
  <c r="T70" i="6"/>
  <c r="T62" i="6"/>
  <c r="T54" i="6"/>
  <c r="T46" i="6"/>
  <c r="T38" i="6"/>
  <c r="T30" i="6"/>
  <c r="T22" i="6"/>
  <c r="T14" i="6"/>
  <c r="T6" i="6"/>
  <c r="N87" i="6"/>
  <c r="N79" i="6"/>
  <c r="N71" i="6"/>
  <c r="N63" i="6"/>
  <c r="N55" i="6"/>
  <c r="N47" i="6"/>
  <c r="N39" i="6"/>
  <c r="N31" i="6"/>
  <c r="N23" i="6"/>
  <c r="N15" i="6"/>
  <c r="N7" i="6"/>
  <c r="R89" i="6"/>
  <c r="R81" i="6"/>
  <c r="R73" i="6"/>
  <c r="R65" i="6"/>
  <c r="R57" i="6"/>
  <c r="R49" i="6"/>
  <c r="R41" i="6"/>
  <c r="R33" i="6"/>
  <c r="R25" i="6"/>
  <c r="R17" i="6"/>
  <c r="R9" i="6"/>
  <c r="S91" i="6"/>
  <c r="S83" i="6"/>
  <c r="S75" i="6"/>
  <c r="S67" i="6"/>
  <c r="S59" i="6"/>
  <c r="S51" i="6"/>
  <c r="S43" i="6"/>
  <c r="S35" i="6"/>
  <c r="S27" i="6"/>
  <c r="S19" i="6"/>
  <c r="S11" i="6"/>
  <c r="T3" i="6"/>
  <c r="T85" i="6"/>
  <c r="T77" i="6"/>
  <c r="T69" i="6"/>
  <c r="T61" i="6"/>
  <c r="T53" i="6"/>
  <c r="T45" i="6"/>
  <c r="T37" i="6"/>
  <c r="T29" i="6"/>
  <c r="T21" i="6"/>
  <c r="T13" i="6"/>
  <c r="T5" i="6"/>
  <c r="N86" i="6"/>
  <c r="N78" i="6"/>
  <c r="N70" i="6"/>
  <c r="N62" i="6"/>
  <c r="N54" i="6"/>
  <c r="N46" i="6"/>
  <c r="N38" i="6"/>
  <c r="N30" i="6"/>
  <c r="N22" i="6"/>
  <c r="N14" i="6"/>
  <c r="N6" i="6"/>
  <c r="R88" i="6"/>
  <c r="R80" i="6"/>
  <c r="R72" i="6"/>
  <c r="R64" i="6"/>
  <c r="R56" i="6"/>
  <c r="R48" i="6"/>
  <c r="R40" i="6"/>
  <c r="R32" i="6"/>
  <c r="R24" i="6"/>
  <c r="R16" i="6"/>
  <c r="R8" i="6"/>
  <c r="S90" i="6"/>
  <c r="S82" i="6"/>
  <c r="S74" i="6"/>
  <c r="S66" i="6"/>
  <c r="S58" i="6"/>
  <c r="S50" i="6"/>
  <c r="S42" i="6"/>
  <c r="S34" i="6"/>
  <c r="S26" i="6"/>
  <c r="S18" i="6"/>
  <c r="S10" i="6"/>
  <c r="T92" i="6"/>
  <c r="T84" i="6"/>
  <c r="T76" i="6"/>
  <c r="T68" i="6"/>
  <c r="T60" i="6"/>
  <c r="T52" i="6"/>
  <c r="T44" i="6"/>
  <c r="T36" i="6"/>
  <c r="T28" i="6"/>
  <c r="T20" i="6"/>
  <c r="T12" i="6"/>
  <c r="T4" i="6"/>
  <c r="Q17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A84D9-7CB1-48F6-AA03-0039438DAE6E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59937966-0906-490A-BB4F-CB71CE6C35C1}" name="Query - Sales_Q1" description="Connection to the 'Sales_Q1' query in the workbook." type="100" refreshedVersion="8" minRefreshableVersion="5">
    <extLst>
      <ext xmlns:x15="http://schemas.microsoft.com/office/spreadsheetml/2010/11/main" uri="{DE250136-89BD-433C-8126-D09CA5730AF9}">
        <x15:connection id="c0b495c4-236b-4948-a0e5-5440474d5ab2"/>
      </ext>
    </extLst>
  </connection>
  <connection id="3" xr16:uid="{80B34780-57A6-4312-8AAC-5165654D6DF0}" name="Query - Sales_Q2" description="Connection to the 'Sales_Q2' query in the workbook." type="100" refreshedVersion="8" minRefreshableVersion="5">
    <extLst>
      <ext xmlns:x15="http://schemas.microsoft.com/office/spreadsheetml/2010/11/main" uri="{DE250136-89BD-433C-8126-D09CA5730AF9}">
        <x15:connection id="fe82cefc-3bf6-4479-85f9-7cf51ee8d5db"/>
      </ext>
    </extLst>
  </connection>
  <connection id="4" xr16:uid="{AF6DF8B2-1816-44AC-A52B-083E8A391BE6}" name="Query - Sales_Q3" description="Connection to the 'Sales_Q3' query in the workbook." type="100" refreshedVersion="8" minRefreshableVersion="5">
    <extLst>
      <ext xmlns:x15="http://schemas.microsoft.com/office/spreadsheetml/2010/11/main" uri="{DE250136-89BD-433C-8126-D09CA5730AF9}">
        <x15:connection id="3701dbd2-bc65-45b8-8ded-9c0b7c4ccd03"/>
      </ext>
    </extLst>
  </connection>
  <connection id="5" xr16:uid="{366D7C4C-BEBD-4BBC-8C69-96995F1E05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<sst xmlns="http://schemas.openxmlformats.org/spreadsheetml/2006/main" count="804" uniqueCount="180">
  <si>
    <t>OrderID</t>
  </si>
  <si>
    <t>Region</t>
  </si>
  <si>
    <t>CustomerID</t>
  </si>
  <si>
    <t>Product</t>
  </si>
  <si>
    <t>Quantity</t>
  </si>
  <si>
    <t>UnitPrice</t>
  </si>
  <si>
    <t>Q1-001</t>
  </si>
  <si>
    <t>Q1-002</t>
  </si>
  <si>
    <t>Q1-003</t>
  </si>
  <si>
    <t>Q1-004</t>
  </si>
  <si>
    <t>Q1-005</t>
  </si>
  <si>
    <t>Q1-006</t>
  </si>
  <si>
    <t>Q1-007</t>
  </si>
  <si>
    <t>Q1-008</t>
  </si>
  <si>
    <t>Q1-009</t>
  </si>
  <si>
    <t>Q1-010</t>
  </si>
  <si>
    <t>Q1-011</t>
  </si>
  <si>
    <t>Q1-012</t>
  </si>
  <si>
    <t>Q1-013</t>
  </si>
  <si>
    <t>Q1-014</t>
  </si>
  <si>
    <t>Q1-015</t>
  </si>
  <si>
    <t>Q1-016</t>
  </si>
  <si>
    <t>Q1-017</t>
  </si>
  <si>
    <t>Q1-018</t>
  </si>
  <si>
    <t>Q1-019</t>
  </si>
  <si>
    <t>Q1-020</t>
  </si>
  <si>
    <t>Q1-021</t>
  </si>
  <si>
    <t>Q1-022</t>
  </si>
  <si>
    <t>Q1-023</t>
  </si>
  <si>
    <t>Q1-024</t>
  </si>
  <si>
    <t>Q1-025</t>
  </si>
  <si>
    <t>Q1-026</t>
  </si>
  <si>
    <t>Q1-027</t>
  </si>
  <si>
    <t>Q1-028</t>
  </si>
  <si>
    <t>Q1-029</t>
  </si>
  <si>
    <t>Q1-030</t>
  </si>
  <si>
    <t>South</t>
  </si>
  <si>
    <t>West</t>
  </si>
  <si>
    <t>East</t>
  </si>
  <si>
    <t>North</t>
  </si>
  <si>
    <t>Tablet</t>
  </si>
  <si>
    <t>Headphones</t>
  </si>
  <si>
    <t>Monitor</t>
  </si>
  <si>
    <t>Smartphone</t>
  </si>
  <si>
    <t>Laptop</t>
  </si>
  <si>
    <t>Printer</t>
  </si>
  <si>
    <t>Q3-030</t>
  </si>
  <si>
    <t>Q3-029</t>
  </si>
  <si>
    <t>Q3-028</t>
  </si>
  <si>
    <t>Q3-027</t>
  </si>
  <si>
    <t>Q3-026</t>
  </si>
  <si>
    <t>Q3-025</t>
  </si>
  <si>
    <t>Q3-024</t>
  </si>
  <si>
    <t>Q3-023</t>
  </si>
  <si>
    <t>Q3-022</t>
  </si>
  <si>
    <t>Q3-021</t>
  </si>
  <si>
    <t>Q3-020</t>
  </si>
  <si>
    <t>Q3-019</t>
  </si>
  <si>
    <t>Q3-018</t>
  </si>
  <si>
    <t>Q3-017</t>
  </si>
  <si>
    <t>Q3-016</t>
  </si>
  <si>
    <t>Q3-015</t>
  </si>
  <si>
    <t>Q3-014</t>
  </si>
  <si>
    <t>Q3-013</t>
  </si>
  <si>
    <t>Q3-012</t>
  </si>
  <si>
    <t>Q3-011</t>
  </si>
  <si>
    <t>Q3-010</t>
  </si>
  <si>
    <t>Q3-009</t>
  </si>
  <si>
    <t>Q3-008</t>
  </si>
  <si>
    <t>Q3-007</t>
  </si>
  <si>
    <t>Q3-006</t>
  </si>
  <si>
    <t>Q3-005</t>
  </si>
  <si>
    <t>Q3-004</t>
  </si>
  <si>
    <t>Q3-003</t>
  </si>
  <si>
    <t>Q3-002</t>
  </si>
  <si>
    <t>Q3-001</t>
  </si>
  <si>
    <t>Q2-030</t>
  </si>
  <si>
    <t>Q2-029</t>
  </si>
  <si>
    <t>Q2-028</t>
  </si>
  <si>
    <t>Q2-027</t>
  </si>
  <si>
    <t>Q2-026</t>
  </si>
  <si>
    <t>Q2-025</t>
  </si>
  <si>
    <t>Q2-024</t>
  </si>
  <si>
    <t>Q2-023</t>
  </si>
  <si>
    <t>Q2-022</t>
  </si>
  <si>
    <t>Q2-021</t>
  </si>
  <si>
    <t>Q2-020</t>
  </si>
  <si>
    <t>Q2-019</t>
  </si>
  <si>
    <t>Q2-018</t>
  </si>
  <si>
    <t>Q2-017</t>
  </si>
  <si>
    <t>Q2-016</t>
  </si>
  <si>
    <t>Q2-015</t>
  </si>
  <si>
    <t>Q2-014</t>
  </si>
  <si>
    <t>Q2-013</t>
  </si>
  <si>
    <t>Q2-012</t>
  </si>
  <si>
    <t>Q2-011</t>
  </si>
  <si>
    <t>Q2-010</t>
  </si>
  <si>
    <t>Q2-009</t>
  </si>
  <si>
    <t>Q2-008</t>
  </si>
  <si>
    <t>Q2-007</t>
  </si>
  <si>
    <t>Q2-006</t>
  </si>
  <si>
    <t>Q2-005</t>
  </si>
  <si>
    <t>Q2-004</t>
  </si>
  <si>
    <t>Q2-003</t>
  </si>
  <si>
    <t>Q2-002</t>
  </si>
  <si>
    <t>Q2-001</t>
  </si>
  <si>
    <t xml:space="preserve"> </t>
  </si>
  <si>
    <t>Revenue</t>
  </si>
  <si>
    <t>Office</t>
  </si>
  <si>
    <t>Electronics</t>
  </si>
  <si>
    <t>Accessories</t>
  </si>
  <si>
    <t>Discount</t>
  </si>
  <si>
    <t>UnitCost</t>
  </si>
  <si>
    <t>Category</t>
  </si>
  <si>
    <t xml:space="preserve"> Date</t>
  </si>
  <si>
    <t>Month</t>
  </si>
  <si>
    <t>Overheads</t>
  </si>
  <si>
    <t>Salaries</t>
  </si>
  <si>
    <t>OtherExpenses</t>
  </si>
  <si>
    <t>Net Profit</t>
  </si>
  <si>
    <t>DeliveryDays</t>
  </si>
  <si>
    <t>ReturnRate</t>
  </si>
  <si>
    <t>FirstName</t>
  </si>
  <si>
    <t>LastName</t>
  </si>
  <si>
    <t>Email</t>
  </si>
  <si>
    <t>Standard name</t>
  </si>
  <si>
    <t>Naledi</t>
  </si>
  <si>
    <t>Pillay</t>
  </si>
  <si>
    <t>naledi.pillay@example.com</t>
  </si>
  <si>
    <t>Michael</t>
  </si>
  <si>
    <t>van Wyk</t>
  </si>
  <si>
    <t>michael.van wyk@example.com</t>
  </si>
  <si>
    <t>Botha</t>
  </si>
  <si>
    <t>naledi.botha@example.com</t>
  </si>
  <si>
    <t>Johnson</t>
  </si>
  <si>
    <t>michael.johnson@example.com</t>
  </si>
  <si>
    <t>Emily</t>
  </si>
  <si>
    <t>emily.johnson@example.com</t>
  </si>
  <si>
    <t>Nguyen</t>
  </si>
  <si>
    <t>michael.nguyen@example.com</t>
  </si>
  <si>
    <t>Sipho</t>
  </si>
  <si>
    <t>sipho.johnson@example.com</t>
  </si>
  <si>
    <t>Sarah</t>
  </si>
  <si>
    <t>sarah.nguyen@example.com</t>
  </si>
  <si>
    <t>John</t>
  </si>
  <si>
    <t>Brown</t>
  </si>
  <si>
    <t>john.brown@example.com</t>
  </si>
  <si>
    <t>Smith</t>
  </si>
  <si>
    <t>john.smith@example.com</t>
  </si>
  <si>
    <t>naledi.van wyk@example.com</t>
  </si>
  <si>
    <t>sipho.van wyk@example.com</t>
  </si>
  <si>
    <t>Mlambo</t>
  </si>
  <si>
    <t>john.mlambo@example.com</t>
  </si>
  <si>
    <t>sipho.nguyen@example.com</t>
  </si>
  <si>
    <t>sipho.smith@example.com</t>
  </si>
  <si>
    <t>michael.mlambo@example.com</t>
  </si>
  <si>
    <t>naledi.nguyen@example.com</t>
  </si>
  <si>
    <t>David</t>
  </si>
  <si>
    <t>david.van wyk@example.com</t>
  </si>
  <si>
    <t>Thabo</t>
  </si>
  <si>
    <t>thabo.botha@example.com</t>
  </si>
  <si>
    <t>Lerato</t>
  </si>
  <si>
    <t>Naidoo</t>
  </si>
  <si>
    <t>lerato.naidoo@example.com</t>
  </si>
  <si>
    <t>Aisha</t>
  </si>
  <si>
    <t>aisha.brown@example.com</t>
  </si>
  <si>
    <t>lerato.van wyk@example.com</t>
  </si>
  <si>
    <t>Total</t>
  </si>
  <si>
    <t>Ave DD</t>
  </si>
  <si>
    <t>Ave RR</t>
  </si>
  <si>
    <t>Discounted rev</t>
  </si>
  <si>
    <t>Profit</t>
  </si>
  <si>
    <t>Classification</t>
  </si>
  <si>
    <t>pro details</t>
  </si>
  <si>
    <t>Dynamic Named Range</t>
  </si>
  <si>
    <t>order per region</t>
  </si>
  <si>
    <t>Average Deli Time</t>
  </si>
  <si>
    <t>Delivery days</t>
  </si>
  <si>
    <t>Operational Efficiency</t>
  </si>
  <si>
    <t>Advanced Business Intelligence Full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</si>
</sst>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rgb="FF1D212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7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167" formatCode="dd/mm/yyyy;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A188AC0-261E-4695-9369-A9D012D312FD}" autoFormatId="16" applyNumberFormats="0" applyBorderFormats="0" applyFontFormats="0" applyPatternFormats="0" applyAlignmentFormats="0" applyWidthHeightFormats="0">
  <queryTableRefresh nextId="16" unboundColumnsRight="1">
    <queryTableFields count="9">
      <queryTableField id="1" name="OrderID" tableColumnId="1"/>
      <queryTableField id="2" name="Date" tableColumnId="2"/>
      <queryTableField id="15" dataBound="0" tableColumnId="15"/>
      <queryTableField id="3" name="Region" tableColumnId="3"/>
      <queryTableField id="4" name="CustomerID" tableColumnId="4"/>
      <queryTableField id="5" name="Product" tableColumnId="5"/>
      <queryTableField id="6" name="Quantity" tableColumnId="6"/>
      <queryTableField id="7" name="UnitPric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5B25EC-1DE5-4FEF-BF6B-1C126F31A28A}" name="Append1" displayName="Append1" ref="A2:I92" tableType="queryTable" totalsRowShown="0">
  <autoFilter ref="A2:I92" xr:uid="{CA5B25EC-1DE5-4FEF-BF6B-1C126F31A28A}"/>
  <tableColumns count="9">
    <tableColumn id="1" xr3:uid="{421C2531-F1A4-4BF2-81DF-97950A1AD369}" uniqueName="1" name="OrderID" queryTableFieldId="1" dataDxfId="7"/>
    <tableColumn id="2" xr3:uid="{6EBB6864-B232-4398-BBAE-7D5AAA797E0E}" uniqueName="2" name=" " queryTableFieldId="2" dataDxfId="6"/>
    <tableColumn id="15" xr3:uid="{F49FB55B-4A15-4792-B802-D3E777E74EA6}" uniqueName="15" name="Delivery days" queryTableFieldId="15" dataDxfId="0"/>
    <tableColumn id="3" xr3:uid="{BD6C1FA8-14C7-4516-A48E-9153F4705324}" uniqueName="3" name="Region" queryTableFieldId="3" dataDxfId="5"/>
    <tableColumn id="4" xr3:uid="{352DB777-A2EB-4959-81B0-80E3B059E838}" uniqueName="4" name="CustomerID" queryTableFieldId="4"/>
    <tableColumn id="5" xr3:uid="{601A2515-F651-4670-A265-EEEDE90340BD}" uniqueName="5" name="Product" queryTableFieldId="5" dataDxfId="4"/>
    <tableColumn id="6" xr3:uid="{4AAD42E2-8AD3-4C36-8842-43AF37A63F38}" uniqueName="6" name="Quantity" queryTableFieldId="6"/>
    <tableColumn id="7" xr3:uid="{174E74CE-A31E-42AD-B71F-B3BFD7FB9BDB}" uniqueName="7" name="UnitPrice" queryTableFieldId="7"/>
    <tableColumn id="8" xr3:uid="{F1F15B1D-3181-45F2-8060-2B99342AF7CD}" uniqueName="8" name="Revenue" queryTableFieldId="8">
      <calculatedColumnFormula>G3*H3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4B6DD7-BEAC-4D91-8116-CDCFD9CECC0C}" name="Table10" displayName="Table10" ref="A1:C92" totalsRowCount="1" headerRowDxfId="1" headerRowBorderDxfId="2" tableBorderDxfId="3">
  <autoFilter ref="A1:C91" xr:uid="{3B4B6DD7-BEAC-4D91-8116-CDCFD9CECC0C}"/>
  <tableColumns count="3">
    <tableColumn id="1" xr3:uid="{FB1A5354-BF8B-4C69-97B5-82A43079A2BC}" name="OrderID" totalsRowLabel="Total"/>
    <tableColumn id="2" xr3:uid="{49804703-D0E6-4434-90A1-24EB9E404108}" name="DeliveryDays" totalsRowFunction="average"/>
    <tableColumn id="3" xr3:uid="{912C4574-023F-498E-B6BC-5383B637CFA4}" name="ReturnRate" totalsRowFunction="aver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EB94-BC35-466F-A0EC-B39E65A61825}">
  <dimension ref="A1:AV92"/>
  <sheetViews>
    <sheetView tabSelected="1" topLeftCell="F1" zoomScale="85" workbookViewId="0">
      <pane ySplit="2" topLeftCell="A3" activePane="bottomLeft" state="frozen"/>
      <selection activeCell="K1" sqref="K1"/>
      <selection pane="bottomLeft" activeCell="AA15" sqref="AA15"/>
    </sheetView>
  </sheetViews>
  <sheetFormatPr defaultRowHeight="14.4" x14ac:dyDescent="0.3"/>
  <cols>
    <col min="1" max="1" width="9.77734375" bestFit="1" customWidth="1"/>
    <col min="2" max="2" width="12" style="3" bestFit="1" customWidth="1"/>
    <col min="3" max="3" width="9" bestFit="1" customWidth="1"/>
    <col min="4" max="4" width="13.109375" bestFit="1" customWidth="1"/>
    <col min="5" max="5" width="11.109375" bestFit="1" customWidth="1"/>
    <col min="6" max="6" width="10.5546875" bestFit="1" customWidth="1"/>
    <col min="7" max="7" width="10.88671875" bestFit="1" customWidth="1"/>
    <col min="10" max="10" width="0" hidden="1" customWidth="1"/>
    <col min="12" max="12" width="8.88671875" style="6"/>
    <col min="17" max="17" width="13.109375" customWidth="1"/>
    <col min="19" max="19" width="11.77734375" customWidth="1"/>
    <col min="21" max="21" width="9.5546875" bestFit="1" customWidth="1"/>
    <col min="22" max="22" width="10.77734375" customWidth="1"/>
    <col min="23" max="23" width="14.109375" customWidth="1"/>
    <col min="24" max="24" width="15.6640625" customWidth="1"/>
    <col min="25" max="25" width="8.88671875" customWidth="1"/>
  </cols>
  <sheetData>
    <row r="1" spans="1:48" s="6" customFormat="1" ht="34.799999999999997" x14ac:dyDescent="0.3">
      <c r="A1" s="10" t="s">
        <v>179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 t="s">
        <v>179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x14ac:dyDescent="0.3">
      <c r="A2" t="s">
        <v>0</v>
      </c>
      <c r="B2" s="3" t="s">
        <v>106</v>
      </c>
      <c r="C2" s="3" t="s">
        <v>177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107</v>
      </c>
      <c r="J2" t="str" cm="1">
        <f t="array" ref="J2:M2">_xlfn.XLOOKUP(F2,Products!A:A,Products!B:E)</f>
        <v>Category</v>
      </c>
      <c r="K2" t="str">
        <v>UnitPrice</v>
      </c>
      <c r="L2" t="str">
        <v>UnitCost</v>
      </c>
      <c r="M2" s="6" t="str">
        <v>Discount</v>
      </c>
      <c r="N2" t="s">
        <v>119</v>
      </c>
      <c r="O2" t="s">
        <v>168</v>
      </c>
      <c r="P2" t="s">
        <v>169</v>
      </c>
      <c r="Q2" t="s">
        <v>178</v>
      </c>
      <c r="R2" t="s">
        <v>170</v>
      </c>
      <c r="S2" t="s">
        <v>171</v>
      </c>
      <c r="T2" t="s">
        <v>172</v>
      </c>
      <c r="U2" t="s">
        <v>173</v>
      </c>
      <c r="V2" t="s">
        <v>174</v>
      </c>
      <c r="W2" t="s">
        <v>1</v>
      </c>
      <c r="X2" t="s">
        <v>175</v>
      </c>
      <c r="Y2" t="s">
        <v>176</v>
      </c>
      <c r="AA2" s="6"/>
    </row>
    <row r="3" spans="1:48" x14ac:dyDescent="0.3">
      <c r="A3" s="2" t="s">
        <v>6</v>
      </c>
      <c r="B3" s="3">
        <v>45708.027094907397</v>
      </c>
      <c r="C3" s="6">
        <v>5</v>
      </c>
      <c r="D3" s="2" t="s">
        <v>36</v>
      </c>
      <c r="E3">
        <v>1018</v>
      </c>
      <c r="F3" s="2" t="s">
        <v>40</v>
      </c>
      <c r="G3">
        <v>1</v>
      </c>
      <c r="H3">
        <v>730</v>
      </c>
      <c r="I3">
        <f>G3*H3</f>
        <v>730</v>
      </c>
      <c r="J3" t="str" cm="1">
        <f t="array" ref="J3:M3">_xlfn.XLOOKUP(F3,Products!A:A,Products!B:E)</f>
        <v>Electronics</v>
      </c>
      <c r="K3">
        <v>1613</v>
      </c>
      <c r="L3">
        <v>492</v>
      </c>
      <c r="M3" s="6">
        <v>0.14000000000000001</v>
      </c>
      <c r="N3">
        <f>Append1[[#This Row],[Revenue]]-(Finance_Data!B2+Finance_Data!C2+Finance_Data!D2)</f>
        <v>-106484</v>
      </c>
      <c r="O3">
        <f>Table10[[#Totals],[DeliveryDays]]</f>
        <v>4.8888888888888893</v>
      </c>
      <c r="P3">
        <f>Table10[[#Totals],[ReturnRate]]</f>
        <v>5.0555555555555527E-2</v>
      </c>
      <c r="Q3">
        <f>1/(O3*(1+P3))</f>
        <v>0.19470217777991444</v>
      </c>
      <c r="R3">
        <f>I3*(1-M3)</f>
        <v>627.79999999999995</v>
      </c>
      <c r="S3">
        <f>I3-(G3*H3)-Finance_Data!B2</f>
        <v>-25640</v>
      </c>
      <c r="T3" t="str">
        <f>IF(I3&gt;50000,"VIP",IF(I3&lt;20000,"Low Value",IF(B3&gt;=20000-50000,"Regular")))</f>
        <v>Low Value</v>
      </c>
      <c r="U3">
        <f>INDEX('Full Data'!$K:$K,MATCH(F3,'Full Data'!$F:$F,0))</f>
        <v>1613</v>
      </c>
      <c r="V3" t="str" cm="1">
        <f t="array" aca="1" ref="V3:V92" ca="1">DNR</f>
        <v>Electronics</v>
      </c>
      <c r="W3" t="str" cm="1">
        <f t="array" ref="W3:W6">_xlfn.UNIQUE(D3:D92)</f>
        <v>South</v>
      </c>
      <c r="X3">
        <f>COUNTIF(D:D,"South")</f>
        <v>23</v>
      </c>
      <c r="Y3">
        <f>AVERAGEIF($D:$D,"South",$C:$C)</f>
        <v>5.4347826086956523</v>
      </c>
    </row>
    <row r="4" spans="1:48" x14ac:dyDescent="0.3">
      <c r="A4" s="2" t="s">
        <v>7</v>
      </c>
      <c r="B4" s="3">
        <v>45712.236793981479</v>
      </c>
      <c r="C4" s="6">
        <v>2</v>
      </c>
      <c r="D4" s="2" t="s">
        <v>36</v>
      </c>
      <c r="E4">
        <v>1004</v>
      </c>
      <c r="F4" s="2" t="s">
        <v>41</v>
      </c>
      <c r="G4">
        <v>3</v>
      </c>
      <c r="H4">
        <v>378</v>
      </c>
      <c r="I4">
        <f t="shared" ref="I4:I67" si="0">G4*H4</f>
        <v>1134</v>
      </c>
      <c r="J4" t="str" cm="1">
        <f t="array" ref="J4:M4">_xlfn.XLOOKUP(F4,Products!A:A,Products!B:E)</f>
        <v>Accessories</v>
      </c>
      <c r="K4">
        <v>106</v>
      </c>
      <c r="L4">
        <v>323</v>
      </c>
      <c r="M4" s="6">
        <v>0.1</v>
      </c>
      <c r="N4" s="6">
        <f>Append1[[#This Row],[Revenue]]-(Finance_Data!B3+Finance_Data!C3+Finance_Data!D3)</f>
        <v>-140443</v>
      </c>
      <c r="O4" s="6">
        <f>Table10[[#Totals],[DeliveryDays]]</f>
        <v>4.8888888888888893</v>
      </c>
      <c r="P4" s="6">
        <f>Table10[[#Totals],[ReturnRate]]</f>
        <v>5.0555555555555527E-2</v>
      </c>
      <c r="Q4" s="6">
        <f t="shared" ref="Q4:Q67" si="1">1/(O4*(1+P4))</f>
        <v>0.19470217777991444</v>
      </c>
      <c r="R4" s="6">
        <f t="shared" ref="R4:R67" si="2">I4*(1-M4)</f>
        <v>1020.6</v>
      </c>
      <c r="S4" s="6">
        <f>I4-(G4*H4)-Finance_Data!B3</f>
        <v>-43320</v>
      </c>
      <c r="T4" s="6" t="str">
        <f>IF(I4&gt;50000,"VIP",IF(I4&lt;20000,"Low Value",IF(B4&gt;=20000-50000,"Regular")))</f>
        <v>Low Value</v>
      </c>
      <c r="U4" s="6">
        <f>INDEX('Full Data'!$K:$K,MATCH(F4,'Full Data'!$F:$F,0))</f>
        <v>106</v>
      </c>
      <c r="V4" t="str">
        <f ca="1"/>
        <v>Accessories</v>
      </c>
      <c r="W4" t="str">
        <v>West</v>
      </c>
      <c r="X4" s="6">
        <f>COUNTIF(D:D,"West")</f>
        <v>24</v>
      </c>
      <c r="Y4" s="6">
        <f>AVERAGEIF($D:$D,"West",$C:$C)</f>
        <v>5.083333333333333</v>
      </c>
    </row>
    <row r="5" spans="1:48" x14ac:dyDescent="0.3">
      <c r="A5" s="2" t="s">
        <v>8</v>
      </c>
      <c r="B5" s="3">
        <v>45736.268287037034</v>
      </c>
      <c r="C5" s="6">
        <v>6</v>
      </c>
      <c r="D5" s="2" t="s">
        <v>37</v>
      </c>
      <c r="E5">
        <v>1005</v>
      </c>
      <c r="F5" s="2" t="s">
        <v>42</v>
      </c>
      <c r="G5">
        <v>1</v>
      </c>
      <c r="H5">
        <v>585</v>
      </c>
      <c r="I5">
        <f t="shared" si="0"/>
        <v>585</v>
      </c>
      <c r="J5" t="str" cm="1">
        <f t="array" ref="J5:M5">_xlfn.XLOOKUP(F5,Products!A:A,Products!B:E)</f>
        <v>Electronics</v>
      </c>
      <c r="K5">
        <v>396</v>
      </c>
      <c r="L5">
        <v>463</v>
      </c>
      <c r="M5" s="6">
        <v>0.23</v>
      </c>
      <c r="N5" s="6">
        <f>Append1[[#This Row],[Revenue]]-(Finance_Data!B4+Finance_Data!C4+Finance_Data!D4)</f>
        <v>-115190</v>
      </c>
      <c r="O5" s="6">
        <f>Table10[[#Totals],[DeliveryDays]]</f>
        <v>4.8888888888888893</v>
      </c>
      <c r="P5" s="6">
        <f>Table10[[#Totals],[ReturnRate]]</f>
        <v>5.0555555555555527E-2</v>
      </c>
      <c r="Q5" s="6">
        <f t="shared" si="1"/>
        <v>0.19470217777991444</v>
      </c>
      <c r="R5" s="6">
        <f t="shared" si="2"/>
        <v>450.45</v>
      </c>
      <c r="S5" s="6">
        <f>I5-(G5*H5)-Finance_Data!B4</f>
        <v>-34147</v>
      </c>
      <c r="T5" s="6" t="str">
        <f>IF(I5&gt;50000,"VIP",IF(I5&lt;20000,"Low Value",IF(B5&gt;=20000-50000,"Regular")))</f>
        <v>Low Value</v>
      </c>
      <c r="U5" s="6">
        <f>INDEX('Full Data'!$K:$K,MATCH(F5,'Full Data'!$F:$F,0))</f>
        <v>396</v>
      </c>
      <c r="V5" t="str">
        <f ca="1"/>
        <v>Electronics</v>
      </c>
      <c r="W5" t="str">
        <v>East</v>
      </c>
      <c r="X5" s="6">
        <f>COUNTIF(D:D,"East")</f>
        <v>21</v>
      </c>
      <c r="Y5" s="6">
        <f>AVERAGEIF($D:$D,"East",$C:$C)</f>
        <v>4.3809523809523814</v>
      </c>
    </row>
    <row r="6" spans="1:48" x14ac:dyDescent="0.3">
      <c r="A6" s="2" t="s">
        <v>9</v>
      </c>
      <c r="B6" s="3">
        <v>45703.571203703701</v>
      </c>
      <c r="C6" s="6">
        <v>4</v>
      </c>
      <c r="D6" s="2" t="s">
        <v>38</v>
      </c>
      <c r="E6">
        <v>1018</v>
      </c>
      <c r="F6" s="2" t="s">
        <v>43</v>
      </c>
      <c r="G6">
        <v>8</v>
      </c>
      <c r="H6">
        <v>726</v>
      </c>
      <c r="I6">
        <f t="shared" si="0"/>
        <v>5808</v>
      </c>
      <c r="J6" t="str" cm="1">
        <f t="array" ref="J6:M6">_xlfn.XLOOKUP(F6,Products!A:A,Products!B:E)</f>
        <v>Electronics</v>
      </c>
      <c r="K6">
        <v>1402</v>
      </c>
      <c r="L6">
        <v>97</v>
      </c>
      <c r="M6" s="6">
        <v>0.08</v>
      </c>
      <c r="N6" s="6">
        <f>Append1[[#This Row],[Revenue]]-(Finance_Data!B5+Finance_Data!C5+Finance_Data!D5)</f>
        <v>-150441</v>
      </c>
      <c r="O6" s="6">
        <f>Table10[[#Totals],[DeliveryDays]]</f>
        <v>4.8888888888888893</v>
      </c>
      <c r="P6" s="6">
        <f>Table10[[#Totals],[ReturnRate]]</f>
        <v>5.0555555555555527E-2</v>
      </c>
      <c r="Q6" s="6">
        <f t="shared" si="1"/>
        <v>0.19470217777991444</v>
      </c>
      <c r="R6" s="6">
        <f t="shared" si="2"/>
        <v>5343.3600000000006</v>
      </c>
      <c r="S6" s="6">
        <f>I6-(G6*H6)-Finance_Data!B5</f>
        <v>-44423</v>
      </c>
      <c r="T6" s="6" t="str">
        <f>IF(I6&gt;50000,"VIP",IF(I6&lt;20000,"Low Value",IF(B6&gt;=20000-50000,"Regular")))</f>
        <v>Low Value</v>
      </c>
      <c r="U6" s="6">
        <f>INDEX('Full Data'!$K:$K,MATCH(F6,'Full Data'!$F:$F,0))</f>
        <v>1402</v>
      </c>
      <c r="V6" t="str">
        <f ca="1"/>
        <v>Electronics</v>
      </c>
      <c r="W6" t="str">
        <v>North</v>
      </c>
      <c r="X6" s="6">
        <f>COUNTIF(D:D,"North")</f>
        <v>22</v>
      </c>
      <c r="Y6" s="6">
        <f>AVERAGEIF($D:$D,"North",$C:$C)</f>
        <v>4.5909090909090908</v>
      </c>
    </row>
    <row r="7" spans="1:48" x14ac:dyDescent="0.3">
      <c r="A7" s="2" t="s">
        <v>10</v>
      </c>
      <c r="B7" s="3">
        <v>45663.685914351852</v>
      </c>
      <c r="C7" s="6">
        <v>5</v>
      </c>
      <c r="D7" s="2" t="s">
        <v>39</v>
      </c>
      <c r="E7">
        <v>1012</v>
      </c>
      <c r="F7" s="2" t="s">
        <v>44</v>
      </c>
      <c r="G7">
        <v>2</v>
      </c>
      <c r="H7">
        <v>709</v>
      </c>
      <c r="I7">
        <f t="shared" si="0"/>
        <v>1418</v>
      </c>
      <c r="J7" t="str" cm="1">
        <f t="array" ref="J7:M7">_xlfn.XLOOKUP(F7,Products!A:A,Products!B:E)</f>
        <v>Electronics</v>
      </c>
      <c r="K7">
        <v>1299</v>
      </c>
      <c r="L7">
        <v>469</v>
      </c>
      <c r="M7" s="6">
        <v>0.22</v>
      </c>
      <c r="N7" s="6">
        <f>Append1[[#This Row],[Revenue]]-(Finance_Data!B6+Finance_Data!C6+Finance_Data!D6)</f>
        <v>-106070</v>
      </c>
      <c r="O7" s="6">
        <f>Table10[[#Totals],[DeliveryDays]]</f>
        <v>4.8888888888888893</v>
      </c>
      <c r="P7" s="6">
        <f>Table10[[#Totals],[ReturnRate]]</f>
        <v>5.0555555555555527E-2</v>
      </c>
      <c r="Q7" s="6">
        <f t="shared" si="1"/>
        <v>0.19470217777991444</v>
      </c>
      <c r="R7" s="6">
        <f t="shared" si="2"/>
        <v>1106.04</v>
      </c>
      <c r="S7" s="6">
        <f>I7-(G7*H7)-Finance_Data!B6</f>
        <v>-32119</v>
      </c>
      <c r="T7" s="6" t="str">
        <f>IF(I7&gt;50000,"VIP",IF(I7&lt;20000,"Low Value",IF(B7&gt;=20000-50000,"Regular")))</f>
        <v>Low Value</v>
      </c>
      <c r="U7" s="6">
        <f>INDEX('Full Data'!$K:$K,MATCH(F7,'Full Data'!$F:$F,0))</f>
        <v>1299</v>
      </c>
      <c r="V7" t="str">
        <f ca="1"/>
        <v>Electronics</v>
      </c>
    </row>
    <row r="8" spans="1:48" x14ac:dyDescent="0.3">
      <c r="A8" s="2" t="s">
        <v>11</v>
      </c>
      <c r="B8" s="3">
        <v>45716.226770833331</v>
      </c>
      <c r="C8" s="6">
        <v>5</v>
      </c>
      <c r="D8" s="2" t="s">
        <v>38</v>
      </c>
      <c r="E8">
        <v>1013</v>
      </c>
      <c r="F8" s="2" t="s">
        <v>44</v>
      </c>
      <c r="G8">
        <v>8</v>
      </c>
      <c r="H8">
        <v>1817</v>
      </c>
      <c r="I8">
        <f t="shared" si="0"/>
        <v>14536</v>
      </c>
      <c r="J8" t="str" cm="1">
        <f t="array" ref="J8:M8">_xlfn.XLOOKUP(F8,Products!A:A,Products!B:E)</f>
        <v>Electronics</v>
      </c>
      <c r="K8">
        <v>1299</v>
      </c>
      <c r="L8">
        <v>469</v>
      </c>
      <c r="M8" s="6">
        <v>0.22</v>
      </c>
      <c r="N8" s="6">
        <f>Append1[[#This Row],[Revenue]]-(Finance_Data!B7+Finance_Data!C7+Finance_Data!D7)</f>
        <v>-121266</v>
      </c>
      <c r="O8" s="6">
        <f>Table10[[#Totals],[DeliveryDays]]</f>
        <v>4.8888888888888893</v>
      </c>
      <c r="P8" s="6">
        <f>Table10[[#Totals],[ReturnRate]]</f>
        <v>5.0555555555555527E-2</v>
      </c>
      <c r="Q8" s="6">
        <f t="shared" si="1"/>
        <v>0.19470217777991444</v>
      </c>
      <c r="R8" s="6">
        <f t="shared" si="2"/>
        <v>11338.08</v>
      </c>
      <c r="S8" s="6">
        <f>I8-(G8*H8)-Finance_Data!B7</f>
        <v>-20079</v>
      </c>
      <c r="T8" s="6" t="str">
        <f>IF(I8&gt;50000,"VIP",IF(I8&lt;20000,"Low Value",IF(B8&gt;=20000-50000,"Regular")))</f>
        <v>Low Value</v>
      </c>
      <c r="U8" s="6">
        <f>INDEX('Full Data'!$K:$K,MATCH(F8,'Full Data'!$F:$F,0))</f>
        <v>1299</v>
      </c>
      <c r="V8" t="str">
        <f ca="1"/>
        <v>Electronics</v>
      </c>
    </row>
    <row r="9" spans="1:48" x14ac:dyDescent="0.3">
      <c r="A9" s="2" t="s">
        <v>12</v>
      </c>
      <c r="B9" s="3">
        <v>45735.116423611107</v>
      </c>
      <c r="C9" s="6">
        <v>4</v>
      </c>
      <c r="D9" s="2" t="s">
        <v>36</v>
      </c>
      <c r="E9">
        <v>1017</v>
      </c>
      <c r="F9" s="2" t="s">
        <v>40</v>
      </c>
      <c r="G9">
        <v>9</v>
      </c>
      <c r="H9">
        <v>1976</v>
      </c>
      <c r="I9">
        <f t="shared" si="0"/>
        <v>17784</v>
      </c>
      <c r="J9" t="str" cm="1">
        <f t="array" ref="J9:M9">_xlfn.XLOOKUP(F9,Products!A:A,Products!B:E)</f>
        <v>Electronics</v>
      </c>
      <c r="K9">
        <v>1613</v>
      </c>
      <c r="L9">
        <v>492</v>
      </c>
      <c r="M9" s="6">
        <v>0.14000000000000001</v>
      </c>
      <c r="N9" s="6">
        <f>Append1[[#This Row],[Revenue]]-(Finance_Data!B8+Finance_Data!C8+Finance_Data!D8)</f>
        <v>-107270</v>
      </c>
      <c r="O9" s="6">
        <f>Table10[[#Totals],[DeliveryDays]]</f>
        <v>4.8888888888888893</v>
      </c>
      <c r="P9" s="6">
        <f>Table10[[#Totals],[ReturnRate]]</f>
        <v>5.0555555555555527E-2</v>
      </c>
      <c r="Q9" s="6">
        <f t="shared" si="1"/>
        <v>0.19470217777991444</v>
      </c>
      <c r="R9" s="6">
        <f t="shared" si="2"/>
        <v>15294.24</v>
      </c>
      <c r="S9" s="6">
        <f>I9-(G9*H9)-Finance_Data!B8</f>
        <v>-36304</v>
      </c>
      <c r="T9" s="6" t="str">
        <f>IF(I9&gt;50000,"VIP",IF(I9&lt;20000,"Low Value",IF(B9&gt;=20000-50000,"Regular")))</f>
        <v>Low Value</v>
      </c>
      <c r="U9" s="6">
        <f>INDEX('Full Data'!$K:$K,MATCH(F9,'Full Data'!$F:$F,0))</f>
        <v>1613</v>
      </c>
      <c r="V9" t="str">
        <f ca="1"/>
        <v>Electronics</v>
      </c>
    </row>
    <row r="10" spans="1:48" x14ac:dyDescent="0.3">
      <c r="A10" s="2" t="s">
        <v>13</v>
      </c>
      <c r="B10" s="3">
        <v>45707.394131944442</v>
      </c>
      <c r="C10" s="6">
        <v>8</v>
      </c>
      <c r="D10" s="2" t="s">
        <v>36</v>
      </c>
      <c r="E10">
        <v>1014</v>
      </c>
      <c r="F10" s="2" t="s">
        <v>40</v>
      </c>
      <c r="G10">
        <v>5</v>
      </c>
      <c r="H10">
        <v>1134</v>
      </c>
      <c r="I10">
        <f t="shared" si="0"/>
        <v>5670</v>
      </c>
      <c r="J10" t="str" cm="1">
        <f t="array" ref="J10:M10">_xlfn.XLOOKUP(F10,Products!A:A,Products!B:E)</f>
        <v>Electronics</v>
      </c>
      <c r="K10">
        <v>1613</v>
      </c>
      <c r="L10">
        <v>492</v>
      </c>
      <c r="M10" s="6">
        <v>0.14000000000000001</v>
      </c>
      <c r="N10" s="6">
        <f>Append1[[#This Row],[Revenue]]-(Finance_Data!B9+Finance_Data!C9+Finance_Data!D9)</f>
        <v>-141054</v>
      </c>
      <c r="O10" s="6">
        <f>Table10[[#Totals],[DeliveryDays]]</f>
        <v>4.8888888888888893</v>
      </c>
      <c r="P10" s="6">
        <f>Table10[[#Totals],[ReturnRate]]</f>
        <v>5.0555555555555527E-2</v>
      </c>
      <c r="Q10" s="6">
        <f t="shared" si="1"/>
        <v>0.19470217777991444</v>
      </c>
      <c r="R10" s="6">
        <f t="shared" si="2"/>
        <v>4876.2</v>
      </c>
      <c r="S10" s="6">
        <f>I10-(G10*H10)-Finance_Data!B9</f>
        <v>-36734</v>
      </c>
      <c r="T10" s="6" t="str">
        <f>IF(I10&gt;50000,"VIP",IF(I10&lt;20000,"Low Value",IF(B10&gt;=20000-50000,"Regular")))</f>
        <v>Low Value</v>
      </c>
      <c r="U10" s="6">
        <f>INDEX('Full Data'!$K:$K,MATCH(F10,'Full Data'!$F:$F,0))</f>
        <v>1613</v>
      </c>
      <c r="V10" t="str">
        <f ca="1"/>
        <v>Electronics</v>
      </c>
    </row>
    <row r="11" spans="1:48" x14ac:dyDescent="0.3">
      <c r="A11" s="2" t="s">
        <v>14</v>
      </c>
      <c r="B11" s="3">
        <v>45671.497210648151</v>
      </c>
      <c r="C11" s="6">
        <v>2</v>
      </c>
      <c r="D11" s="2" t="s">
        <v>36</v>
      </c>
      <c r="E11">
        <v>1020</v>
      </c>
      <c r="F11" s="2" t="s">
        <v>45</v>
      </c>
      <c r="G11">
        <v>1</v>
      </c>
      <c r="H11">
        <v>1220</v>
      </c>
      <c r="I11">
        <f t="shared" si="0"/>
        <v>1220</v>
      </c>
      <c r="J11" t="str" cm="1">
        <f t="array" ref="J11:M11">_xlfn.XLOOKUP(F11,Products!A:A,Products!B:E)</f>
        <v>Office</v>
      </c>
      <c r="K11">
        <v>1635</v>
      </c>
      <c r="L11">
        <v>136</v>
      </c>
      <c r="M11" s="6">
        <v>0.1</v>
      </c>
      <c r="N11" s="6">
        <f>Append1[[#This Row],[Revenue]]-(Finance_Data!B10+Finance_Data!C10+Finance_Data!D10)</f>
        <v>-132618</v>
      </c>
      <c r="O11" s="6">
        <f>Table10[[#Totals],[DeliveryDays]]</f>
        <v>4.8888888888888893</v>
      </c>
      <c r="P11" s="6">
        <f>Table10[[#Totals],[ReturnRate]]</f>
        <v>5.0555555555555527E-2</v>
      </c>
      <c r="Q11" s="6">
        <f t="shared" si="1"/>
        <v>0.19470217777991444</v>
      </c>
      <c r="R11" s="6">
        <f t="shared" si="2"/>
        <v>1098</v>
      </c>
      <c r="S11" s="6">
        <f>I11-(G11*H11)-Finance_Data!B10</f>
        <v>-34260</v>
      </c>
      <c r="T11" s="6" t="str">
        <f>IF(I11&gt;50000,"VIP",IF(I11&lt;20000,"Low Value",IF(B11&gt;=20000-50000,"Regular")))</f>
        <v>Low Value</v>
      </c>
      <c r="U11" s="6">
        <f>INDEX('Full Data'!$K:$K,MATCH(F11,'Full Data'!$F:$F,0))</f>
        <v>1635</v>
      </c>
      <c r="V11" t="str">
        <f ca="1"/>
        <v>Office</v>
      </c>
    </row>
    <row r="12" spans="1:48" x14ac:dyDescent="0.3">
      <c r="A12" s="2" t="s">
        <v>15</v>
      </c>
      <c r="B12" s="3">
        <v>45743.202222222222</v>
      </c>
      <c r="C12" s="6">
        <v>2</v>
      </c>
      <c r="D12" s="2" t="s">
        <v>37</v>
      </c>
      <c r="E12">
        <v>1010</v>
      </c>
      <c r="F12" s="2" t="s">
        <v>41</v>
      </c>
      <c r="G12">
        <v>2</v>
      </c>
      <c r="H12">
        <v>283</v>
      </c>
      <c r="I12">
        <f t="shared" si="0"/>
        <v>566</v>
      </c>
      <c r="J12" t="str" cm="1">
        <f t="array" ref="J12:M12">_xlfn.XLOOKUP(F12,Products!A:A,Products!B:E)</f>
        <v>Accessories</v>
      </c>
      <c r="K12">
        <v>106</v>
      </c>
      <c r="L12">
        <v>323</v>
      </c>
      <c r="M12" s="6">
        <v>0.1</v>
      </c>
      <c r="N12" s="6">
        <f>Append1[[#This Row],[Revenue]]-(Finance_Data!B11+Finance_Data!C11+Finance_Data!D11)</f>
        <v>566</v>
      </c>
      <c r="O12" s="6">
        <f>Table10[[#Totals],[DeliveryDays]]</f>
        <v>4.8888888888888893</v>
      </c>
      <c r="P12" s="6">
        <f>Table10[[#Totals],[ReturnRate]]</f>
        <v>5.0555555555555527E-2</v>
      </c>
      <c r="Q12" s="6">
        <f t="shared" si="1"/>
        <v>0.19470217777991444</v>
      </c>
      <c r="R12" s="6">
        <f t="shared" si="2"/>
        <v>509.40000000000003</v>
      </c>
      <c r="S12" s="6">
        <f>I12-(G12*H12)-Finance_Data!B11</f>
        <v>0</v>
      </c>
      <c r="T12" s="6" t="str">
        <f>IF(I12&gt;50000,"VIP",IF(I12&lt;20000,"Low Value",IF(B12&gt;=20000-50000,"Regular")))</f>
        <v>Low Value</v>
      </c>
      <c r="U12" s="6">
        <f>INDEX('Full Data'!$K:$K,MATCH(F12,'Full Data'!$F:$F,0))</f>
        <v>106</v>
      </c>
      <c r="V12" t="str">
        <f ca="1"/>
        <v>Accessories</v>
      </c>
    </row>
    <row r="13" spans="1:48" x14ac:dyDescent="0.3">
      <c r="A13" s="2" t="s">
        <v>16</v>
      </c>
      <c r="B13" s="3">
        <v>45684.929074074083</v>
      </c>
      <c r="C13" s="6">
        <v>8</v>
      </c>
      <c r="D13" s="2" t="s">
        <v>37</v>
      </c>
      <c r="E13">
        <v>1019</v>
      </c>
      <c r="F13" s="2" t="s">
        <v>44</v>
      </c>
      <c r="G13">
        <v>9</v>
      </c>
      <c r="H13">
        <v>417</v>
      </c>
      <c r="I13">
        <f t="shared" si="0"/>
        <v>3753</v>
      </c>
      <c r="J13" t="str" cm="1">
        <f t="array" ref="J13:M13">_xlfn.XLOOKUP(F13,Products!A:A,Products!B:E)</f>
        <v>Electronics</v>
      </c>
      <c r="K13">
        <v>1299</v>
      </c>
      <c r="L13">
        <v>469</v>
      </c>
      <c r="M13" s="6">
        <v>0.22</v>
      </c>
      <c r="N13" s="6">
        <f>Append1[[#This Row],[Revenue]]-(Finance_Data!B12+Finance_Data!C12+Finance_Data!D12)</f>
        <v>3753</v>
      </c>
      <c r="O13" s="6">
        <f>Table10[[#Totals],[DeliveryDays]]</f>
        <v>4.8888888888888893</v>
      </c>
      <c r="P13" s="6">
        <f>Table10[[#Totals],[ReturnRate]]</f>
        <v>5.0555555555555527E-2</v>
      </c>
      <c r="Q13" s="6">
        <f t="shared" si="1"/>
        <v>0.19470217777991444</v>
      </c>
      <c r="R13" s="6">
        <f t="shared" si="2"/>
        <v>2927.34</v>
      </c>
      <c r="S13" s="6">
        <f>I13-(G13*H13)-Finance_Data!B12</f>
        <v>0</v>
      </c>
      <c r="T13" s="6" t="str">
        <f>IF(I13&gt;50000,"VIP",IF(I13&lt;20000,"Low Value",IF(B13&gt;=20000-50000,"Regular")))</f>
        <v>Low Value</v>
      </c>
      <c r="U13" s="6">
        <f>INDEX('Full Data'!$K:$K,MATCH(F13,'Full Data'!$F:$F,0))</f>
        <v>1299</v>
      </c>
      <c r="V13" t="str">
        <f ca="1"/>
        <v>Electronics</v>
      </c>
    </row>
    <row r="14" spans="1:48" x14ac:dyDescent="0.3">
      <c r="A14" s="2" t="s">
        <v>17</v>
      </c>
      <c r="B14" s="3">
        <v>45662.789641203701</v>
      </c>
      <c r="C14" s="6">
        <v>8</v>
      </c>
      <c r="D14" s="2" t="s">
        <v>36</v>
      </c>
      <c r="E14">
        <v>1016</v>
      </c>
      <c r="F14" s="2" t="s">
        <v>44</v>
      </c>
      <c r="G14">
        <v>3</v>
      </c>
      <c r="H14">
        <v>1692</v>
      </c>
      <c r="I14">
        <f t="shared" si="0"/>
        <v>5076</v>
      </c>
      <c r="J14" t="str" cm="1">
        <f t="array" ref="J14:M14">_xlfn.XLOOKUP(F14,Products!A:A,Products!B:E)</f>
        <v>Electronics</v>
      </c>
      <c r="K14">
        <v>1299</v>
      </c>
      <c r="L14">
        <v>469</v>
      </c>
      <c r="M14" s="6">
        <v>0.22</v>
      </c>
      <c r="N14" s="6">
        <f>Append1[[#This Row],[Revenue]]-(Finance_Data!B13+Finance_Data!C13+Finance_Data!D13)</f>
        <v>5076</v>
      </c>
      <c r="O14" s="6">
        <f>Table10[[#Totals],[DeliveryDays]]</f>
        <v>4.8888888888888893</v>
      </c>
      <c r="P14" s="6">
        <f>Table10[[#Totals],[ReturnRate]]</f>
        <v>5.0555555555555527E-2</v>
      </c>
      <c r="Q14" s="6">
        <f t="shared" si="1"/>
        <v>0.19470217777991444</v>
      </c>
      <c r="R14" s="6">
        <f t="shared" si="2"/>
        <v>3959.28</v>
      </c>
      <c r="S14" s="6">
        <f>I14-(G14*H14)-Finance_Data!B13</f>
        <v>0</v>
      </c>
      <c r="T14" s="6" t="str">
        <f>IF(I14&gt;50000,"VIP",IF(I14&lt;20000,"Low Value",IF(B14&gt;=20000-50000,"Regular")))</f>
        <v>Low Value</v>
      </c>
      <c r="U14" s="6">
        <f>INDEX('Full Data'!$K:$K,MATCH(F14,'Full Data'!$F:$F,0))</f>
        <v>1299</v>
      </c>
      <c r="V14" t="str">
        <f ca="1"/>
        <v>Electronics</v>
      </c>
    </row>
    <row r="15" spans="1:48" x14ac:dyDescent="0.3">
      <c r="A15" s="2" t="s">
        <v>18</v>
      </c>
      <c r="B15" s="3">
        <v>45693.460138888891</v>
      </c>
      <c r="C15" s="6">
        <v>1</v>
      </c>
      <c r="D15" s="2" t="s">
        <v>38</v>
      </c>
      <c r="E15">
        <v>1001</v>
      </c>
      <c r="F15" s="2" t="s">
        <v>45</v>
      </c>
      <c r="G15">
        <v>4</v>
      </c>
      <c r="H15">
        <v>1853</v>
      </c>
      <c r="I15">
        <f t="shared" si="0"/>
        <v>7412</v>
      </c>
      <c r="J15" t="str" cm="1">
        <f t="array" ref="J15:M15">_xlfn.XLOOKUP(F15,Products!A:A,Products!B:E)</f>
        <v>Office</v>
      </c>
      <c r="K15">
        <v>1635</v>
      </c>
      <c r="L15">
        <v>136</v>
      </c>
      <c r="M15" s="6">
        <v>0.1</v>
      </c>
      <c r="N15" s="6">
        <f>Append1[[#This Row],[Revenue]]-(Finance_Data!B14+Finance_Data!C14+Finance_Data!D14)</f>
        <v>7412</v>
      </c>
      <c r="O15" s="6">
        <f>Table10[[#Totals],[DeliveryDays]]</f>
        <v>4.8888888888888893</v>
      </c>
      <c r="P15" s="6">
        <f>Table10[[#Totals],[ReturnRate]]</f>
        <v>5.0555555555555527E-2</v>
      </c>
      <c r="Q15" s="6">
        <f t="shared" si="1"/>
        <v>0.19470217777991444</v>
      </c>
      <c r="R15" s="6">
        <f t="shared" si="2"/>
        <v>6670.8</v>
      </c>
      <c r="S15" s="6">
        <f>I15-(G15*H15)-Finance_Data!B14</f>
        <v>0</v>
      </c>
      <c r="T15" s="6" t="str">
        <f>IF(I15&gt;50000,"VIP",IF(I15&lt;20000,"Low Value",IF(B15&gt;=20000-50000,"Regular")))</f>
        <v>Low Value</v>
      </c>
      <c r="U15" s="6">
        <f>INDEX('Full Data'!$K:$K,MATCH(F15,'Full Data'!$F:$F,0))</f>
        <v>1635</v>
      </c>
      <c r="V15" t="str">
        <f ca="1"/>
        <v>Office</v>
      </c>
    </row>
    <row r="16" spans="1:48" x14ac:dyDescent="0.3">
      <c r="A16" s="2" t="s">
        <v>19</v>
      </c>
      <c r="B16" s="3">
        <v>45717.254155092603</v>
      </c>
      <c r="C16" s="6">
        <v>3</v>
      </c>
      <c r="D16" s="2" t="s">
        <v>36</v>
      </c>
      <c r="E16">
        <v>1005</v>
      </c>
      <c r="F16" s="2" t="s">
        <v>45</v>
      </c>
      <c r="G16">
        <v>2</v>
      </c>
      <c r="H16">
        <v>505</v>
      </c>
      <c r="I16">
        <f t="shared" si="0"/>
        <v>1010</v>
      </c>
      <c r="J16" t="str" cm="1">
        <f t="array" ref="J16:M16">_xlfn.XLOOKUP(F16,Products!A:A,Products!B:E)</f>
        <v>Office</v>
      </c>
      <c r="K16">
        <v>1635</v>
      </c>
      <c r="L16">
        <v>136</v>
      </c>
      <c r="M16" s="6">
        <v>0.1</v>
      </c>
      <c r="N16" s="6">
        <f>Append1[[#This Row],[Revenue]]-(Finance_Data!B15+Finance_Data!C15+Finance_Data!D15)</f>
        <v>1010</v>
      </c>
      <c r="O16" s="6">
        <f>Table10[[#Totals],[DeliveryDays]]</f>
        <v>4.8888888888888893</v>
      </c>
      <c r="P16" s="6">
        <f>Table10[[#Totals],[ReturnRate]]</f>
        <v>5.0555555555555527E-2</v>
      </c>
      <c r="Q16" s="6">
        <f t="shared" si="1"/>
        <v>0.19470217777991444</v>
      </c>
      <c r="R16" s="6">
        <f t="shared" si="2"/>
        <v>909</v>
      </c>
      <c r="S16" s="6">
        <f>I16-(G16*H16)-Finance_Data!B15</f>
        <v>0</v>
      </c>
      <c r="T16" s="6" t="str">
        <f>IF(I16&gt;50000,"VIP",IF(I16&lt;20000,"Low Value",IF(B16&gt;=20000-50000,"Regular")))</f>
        <v>Low Value</v>
      </c>
      <c r="U16" s="6">
        <f>INDEX('Full Data'!$K:$K,MATCH(F16,'Full Data'!$F:$F,0))</f>
        <v>1635</v>
      </c>
      <c r="V16" t="str">
        <f ca="1"/>
        <v>Office</v>
      </c>
    </row>
    <row r="17" spans="1:22" x14ac:dyDescent="0.3">
      <c r="A17" s="2" t="s">
        <v>20</v>
      </c>
      <c r="B17" s="3">
        <v>45672.072662037041</v>
      </c>
      <c r="C17" s="6">
        <v>4</v>
      </c>
      <c r="D17" s="2" t="s">
        <v>36</v>
      </c>
      <c r="E17">
        <v>1016</v>
      </c>
      <c r="F17" s="2" t="s">
        <v>42</v>
      </c>
      <c r="G17">
        <v>3</v>
      </c>
      <c r="H17">
        <v>1355</v>
      </c>
      <c r="I17">
        <f t="shared" si="0"/>
        <v>4065</v>
      </c>
      <c r="J17" t="str" cm="1">
        <f t="array" ref="J17:M17">_xlfn.XLOOKUP(F17,Products!A:A,Products!B:E)</f>
        <v>Electronics</v>
      </c>
      <c r="K17">
        <v>396</v>
      </c>
      <c r="L17">
        <v>463</v>
      </c>
      <c r="M17" s="6">
        <v>0.23</v>
      </c>
      <c r="N17" s="6">
        <f>Append1[[#This Row],[Revenue]]-(Finance_Data!B16+Finance_Data!C16+Finance_Data!D16)</f>
        <v>4065</v>
      </c>
      <c r="O17" s="6">
        <f>Table10[[#Totals],[DeliveryDays]]</f>
        <v>4.8888888888888893</v>
      </c>
      <c r="P17" s="6">
        <f>Table10[[#Totals],[ReturnRate]]</f>
        <v>5.0555555555555527E-2</v>
      </c>
      <c r="Q17" s="6">
        <f t="shared" si="1"/>
        <v>0.19470217777991444</v>
      </c>
      <c r="R17" s="6">
        <f t="shared" si="2"/>
        <v>3130.05</v>
      </c>
      <c r="S17" s="6">
        <f>I17-(G17*H17)-Finance_Data!B16</f>
        <v>0</v>
      </c>
      <c r="T17" s="6" t="str">
        <f>IF(I17&gt;50000,"VIP",IF(I17&lt;20000,"Low Value",IF(B17&gt;=20000-50000,"Regular")))</f>
        <v>Low Value</v>
      </c>
      <c r="U17" s="6">
        <f>INDEX('Full Data'!$K:$K,MATCH(F17,'Full Data'!$F:$F,0))</f>
        <v>396</v>
      </c>
      <c r="V17" t="str">
        <f ca="1"/>
        <v>Electronics</v>
      </c>
    </row>
    <row r="18" spans="1:22" x14ac:dyDescent="0.3">
      <c r="A18" s="2" t="s">
        <v>21</v>
      </c>
      <c r="B18" s="3">
        <v>45742.873171296298</v>
      </c>
      <c r="C18" s="6">
        <v>3</v>
      </c>
      <c r="D18" s="2" t="s">
        <v>39</v>
      </c>
      <c r="E18">
        <v>1003</v>
      </c>
      <c r="F18" s="2" t="s">
        <v>45</v>
      </c>
      <c r="G18">
        <v>8</v>
      </c>
      <c r="H18">
        <v>1220</v>
      </c>
      <c r="I18">
        <f t="shared" si="0"/>
        <v>9760</v>
      </c>
      <c r="J18" t="str" cm="1">
        <f t="array" ref="J18:M18">_xlfn.XLOOKUP(F18,Products!A:A,Products!B:E)</f>
        <v>Office</v>
      </c>
      <c r="K18">
        <v>1635</v>
      </c>
      <c r="L18">
        <v>136</v>
      </c>
      <c r="M18" s="6">
        <v>0.1</v>
      </c>
      <c r="N18" s="6">
        <f>Append1[[#This Row],[Revenue]]-(Finance_Data!B17+Finance_Data!C17+Finance_Data!D17)</f>
        <v>9760</v>
      </c>
      <c r="O18" s="6">
        <f>Table10[[#Totals],[DeliveryDays]]</f>
        <v>4.8888888888888893</v>
      </c>
      <c r="P18" s="6">
        <f>Table10[[#Totals],[ReturnRate]]</f>
        <v>5.0555555555555527E-2</v>
      </c>
      <c r="Q18" s="6">
        <f t="shared" si="1"/>
        <v>0.19470217777991444</v>
      </c>
      <c r="R18" s="6">
        <f t="shared" si="2"/>
        <v>8784</v>
      </c>
      <c r="S18" s="6">
        <f>I18-(G18*H18)-Finance_Data!B17</f>
        <v>0</v>
      </c>
      <c r="T18" s="6" t="str">
        <f>IF(I18&gt;50000,"VIP",IF(I18&lt;20000,"Low Value",IF(B18&gt;=20000-50000,"Regular")))</f>
        <v>Low Value</v>
      </c>
      <c r="U18" s="6">
        <f>INDEX('Full Data'!$K:$K,MATCH(F18,'Full Data'!$F:$F,0))</f>
        <v>1635</v>
      </c>
      <c r="V18" t="str">
        <f ca="1"/>
        <v>Office</v>
      </c>
    </row>
    <row r="19" spans="1:22" x14ac:dyDescent="0.3">
      <c r="A19" s="2" t="s">
        <v>22</v>
      </c>
      <c r="B19" s="3">
        <v>45688.213564814818</v>
      </c>
      <c r="C19" s="6">
        <v>6</v>
      </c>
      <c r="D19" s="2" t="s">
        <v>39</v>
      </c>
      <c r="E19">
        <v>1008</v>
      </c>
      <c r="F19" s="2" t="s">
        <v>43</v>
      </c>
      <c r="G19">
        <v>3</v>
      </c>
      <c r="H19">
        <v>605</v>
      </c>
      <c r="I19">
        <f t="shared" si="0"/>
        <v>1815</v>
      </c>
      <c r="J19" t="str" cm="1">
        <f t="array" ref="J19:M19">_xlfn.XLOOKUP(F19,Products!A:A,Products!B:E)</f>
        <v>Electronics</v>
      </c>
      <c r="K19">
        <v>1402</v>
      </c>
      <c r="L19">
        <v>97</v>
      </c>
      <c r="M19" s="6">
        <v>0.08</v>
      </c>
      <c r="N19" s="6">
        <f>Append1[[#This Row],[Revenue]]-(Finance_Data!B18+Finance_Data!C18+Finance_Data!D18)</f>
        <v>1815</v>
      </c>
      <c r="O19" s="6">
        <f>Table10[[#Totals],[DeliveryDays]]</f>
        <v>4.8888888888888893</v>
      </c>
      <c r="P19" s="6">
        <f>Table10[[#Totals],[ReturnRate]]</f>
        <v>5.0555555555555527E-2</v>
      </c>
      <c r="Q19" s="6">
        <f t="shared" si="1"/>
        <v>0.19470217777991444</v>
      </c>
      <c r="R19" s="6">
        <f t="shared" si="2"/>
        <v>1669.8000000000002</v>
      </c>
      <c r="S19" s="6">
        <f>I19-(G19*H19)-Finance_Data!B18</f>
        <v>0</v>
      </c>
      <c r="T19" s="6" t="str">
        <f>IF(I19&gt;50000,"VIP",IF(I19&lt;20000,"Low Value",IF(B19&gt;=20000-50000,"Regular")))</f>
        <v>Low Value</v>
      </c>
      <c r="U19" s="6">
        <f>INDEX('Full Data'!$K:$K,MATCH(F19,'Full Data'!$F:$F,0))</f>
        <v>1402</v>
      </c>
      <c r="V19" t="str">
        <f ca="1"/>
        <v>Electronics</v>
      </c>
    </row>
    <row r="20" spans="1:22" x14ac:dyDescent="0.3">
      <c r="A20" s="2" t="s">
        <v>23</v>
      </c>
      <c r="B20" s="3">
        <v>45718.933310185188</v>
      </c>
      <c r="C20" s="6">
        <v>9</v>
      </c>
      <c r="D20" s="2" t="s">
        <v>36</v>
      </c>
      <c r="E20">
        <v>1009</v>
      </c>
      <c r="F20" s="2" t="s">
        <v>42</v>
      </c>
      <c r="G20">
        <v>7</v>
      </c>
      <c r="H20">
        <v>1149</v>
      </c>
      <c r="I20">
        <f t="shared" si="0"/>
        <v>8043</v>
      </c>
      <c r="J20" t="str" cm="1">
        <f t="array" ref="J20:M20">_xlfn.XLOOKUP(F20,Products!A:A,Products!B:E)</f>
        <v>Electronics</v>
      </c>
      <c r="K20">
        <v>396</v>
      </c>
      <c r="L20">
        <v>463</v>
      </c>
      <c r="M20" s="6">
        <v>0.23</v>
      </c>
      <c r="N20" s="6">
        <f>Append1[[#This Row],[Revenue]]-(Finance_Data!B19+Finance_Data!C19+Finance_Data!D19)</f>
        <v>8043</v>
      </c>
      <c r="O20" s="6">
        <f>Table10[[#Totals],[DeliveryDays]]</f>
        <v>4.8888888888888893</v>
      </c>
      <c r="P20" s="6">
        <f>Table10[[#Totals],[ReturnRate]]</f>
        <v>5.0555555555555527E-2</v>
      </c>
      <c r="Q20" s="6">
        <f t="shared" si="1"/>
        <v>0.19470217777991444</v>
      </c>
      <c r="R20" s="6">
        <f t="shared" si="2"/>
        <v>6193.1100000000006</v>
      </c>
      <c r="S20" s="6">
        <f>I20-(G20*H20)-Finance_Data!B19</f>
        <v>0</v>
      </c>
      <c r="T20" s="6" t="str">
        <f>IF(I20&gt;50000,"VIP",IF(I20&lt;20000,"Low Value",IF(B20&gt;=20000-50000,"Regular")))</f>
        <v>Low Value</v>
      </c>
      <c r="U20" s="6">
        <f>INDEX('Full Data'!$K:$K,MATCH(F20,'Full Data'!$F:$F,0))</f>
        <v>396</v>
      </c>
      <c r="V20" t="str">
        <f ca="1"/>
        <v>Electronics</v>
      </c>
    </row>
    <row r="21" spans="1:22" x14ac:dyDescent="0.3">
      <c r="A21" s="2" t="s">
        <v>24</v>
      </c>
      <c r="B21" s="3">
        <v>45696.451539351852</v>
      </c>
      <c r="C21" s="6">
        <v>2</v>
      </c>
      <c r="D21" s="2" t="s">
        <v>39</v>
      </c>
      <c r="E21">
        <v>1010</v>
      </c>
      <c r="F21" s="2" t="s">
        <v>41</v>
      </c>
      <c r="G21">
        <v>1</v>
      </c>
      <c r="H21">
        <v>1621</v>
      </c>
      <c r="I21">
        <f t="shared" si="0"/>
        <v>1621</v>
      </c>
      <c r="J21" t="str" cm="1">
        <f t="array" ref="J21:M21">_xlfn.XLOOKUP(F21,Products!A:A,Products!B:E)</f>
        <v>Accessories</v>
      </c>
      <c r="K21">
        <v>106</v>
      </c>
      <c r="L21">
        <v>323</v>
      </c>
      <c r="M21" s="6">
        <v>0.1</v>
      </c>
      <c r="N21" s="6">
        <f>Append1[[#This Row],[Revenue]]-(Finance_Data!B20+Finance_Data!C20+Finance_Data!D20)</f>
        <v>1621</v>
      </c>
      <c r="O21" s="6">
        <f>Table10[[#Totals],[DeliveryDays]]</f>
        <v>4.8888888888888893</v>
      </c>
      <c r="P21" s="6">
        <f>Table10[[#Totals],[ReturnRate]]</f>
        <v>5.0555555555555527E-2</v>
      </c>
      <c r="Q21" s="6">
        <f t="shared" si="1"/>
        <v>0.19470217777991444</v>
      </c>
      <c r="R21" s="6">
        <f t="shared" si="2"/>
        <v>1458.9</v>
      </c>
      <c r="S21" s="6">
        <f>I21-(G21*H21)-Finance_Data!B20</f>
        <v>0</v>
      </c>
      <c r="T21" s="6" t="str">
        <f>IF(I21&gt;50000,"VIP",IF(I21&lt;20000,"Low Value",IF(B21&gt;=20000-50000,"Regular")))</f>
        <v>Low Value</v>
      </c>
      <c r="U21" s="6">
        <f>INDEX('Full Data'!$K:$K,MATCH(F21,'Full Data'!$F:$F,0))</f>
        <v>106</v>
      </c>
      <c r="V21" t="str">
        <f ca="1"/>
        <v>Accessories</v>
      </c>
    </row>
    <row r="22" spans="1:22" x14ac:dyDescent="0.3">
      <c r="A22" s="2" t="s">
        <v>25</v>
      </c>
      <c r="B22" s="3">
        <v>45738.816504629627</v>
      </c>
      <c r="C22" s="6">
        <v>1</v>
      </c>
      <c r="D22" s="2" t="s">
        <v>39</v>
      </c>
      <c r="E22">
        <v>1004</v>
      </c>
      <c r="F22" s="2" t="s">
        <v>45</v>
      </c>
      <c r="G22">
        <v>3</v>
      </c>
      <c r="H22">
        <v>1010</v>
      </c>
      <c r="I22">
        <f t="shared" si="0"/>
        <v>3030</v>
      </c>
      <c r="J22" t="str" cm="1">
        <f t="array" ref="J22:M22">_xlfn.XLOOKUP(F22,Products!A:A,Products!B:E)</f>
        <v>Office</v>
      </c>
      <c r="K22">
        <v>1635</v>
      </c>
      <c r="L22">
        <v>136</v>
      </c>
      <c r="M22" s="6">
        <v>0.1</v>
      </c>
      <c r="N22" s="6">
        <f>Append1[[#This Row],[Revenue]]-(Finance_Data!B21+Finance_Data!C21+Finance_Data!D21)</f>
        <v>3030</v>
      </c>
      <c r="O22" s="6">
        <f>Table10[[#Totals],[DeliveryDays]]</f>
        <v>4.8888888888888893</v>
      </c>
      <c r="P22" s="6">
        <f>Table10[[#Totals],[ReturnRate]]</f>
        <v>5.0555555555555527E-2</v>
      </c>
      <c r="Q22" s="6">
        <f t="shared" si="1"/>
        <v>0.19470217777991444</v>
      </c>
      <c r="R22" s="6">
        <f t="shared" si="2"/>
        <v>2727</v>
      </c>
      <c r="S22" s="6">
        <f>I22-(G22*H22)-Finance_Data!B21</f>
        <v>0</v>
      </c>
      <c r="T22" s="6" t="str">
        <f>IF(I22&gt;50000,"VIP",IF(I22&lt;20000,"Low Value",IF(B22&gt;=20000-50000,"Regular")))</f>
        <v>Low Value</v>
      </c>
      <c r="U22" s="6">
        <f>INDEX('Full Data'!$K:$K,MATCH(F22,'Full Data'!$F:$F,0))</f>
        <v>1635</v>
      </c>
      <c r="V22" t="str">
        <f ca="1"/>
        <v>Office</v>
      </c>
    </row>
    <row r="23" spans="1:22" x14ac:dyDescent="0.3">
      <c r="A23" s="2" t="s">
        <v>26</v>
      </c>
      <c r="B23" s="3">
        <v>45713.211342592593</v>
      </c>
      <c r="C23" s="6">
        <v>8</v>
      </c>
      <c r="D23" s="2" t="s">
        <v>36</v>
      </c>
      <c r="E23">
        <v>1008</v>
      </c>
      <c r="F23" s="2" t="s">
        <v>41</v>
      </c>
      <c r="G23">
        <v>7</v>
      </c>
      <c r="H23">
        <v>241</v>
      </c>
      <c r="I23">
        <f t="shared" si="0"/>
        <v>1687</v>
      </c>
      <c r="J23" t="str" cm="1">
        <f t="array" ref="J23:M23">_xlfn.XLOOKUP(F23,Products!A:A,Products!B:E)</f>
        <v>Accessories</v>
      </c>
      <c r="K23">
        <v>106</v>
      </c>
      <c r="L23">
        <v>323</v>
      </c>
      <c r="M23" s="6">
        <v>0.1</v>
      </c>
      <c r="N23" s="6">
        <f>Append1[[#This Row],[Revenue]]-(Finance_Data!B22+Finance_Data!C22+Finance_Data!D22)</f>
        <v>1687</v>
      </c>
      <c r="O23" s="6">
        <f>Table10[[#Totals],[DeliveryDays]]</f>
        <v>4.8888888888888893</v>
      </c>
      <c r="P23" s="6">
        <f>Table10[[#Totals],[ReturnRate]]</f>
        <v>5.0555555555555527E-2</v>
      </c>
      <c r="Q23" s="6">
        <f t="shared" si="1"/>
        <v>0.19470217777991444</v>
      </c>
      <c r="R23" s="6">
        <f t="shared" si="2"/>
        <v>1518.3</v>
      </c>
      <c r="S23" s="6">
        <f>I23-(G23*H23)-Finance_Data!B22</f>
        <v>0</v>
      </c>
      <c r="T23" s="6" t="str">
        <f>IF(I23&gt;50000,"VIP",IF(I23&lt;20000,"Low Value",IF(B23&gt;=20000-50000,"Regular")))</f>
        <v>Low Value</v>
      </c>
      <c r="U23" s="6">
        <f>INDEX('Full Data'!$K:$K,MATCH(F23,'Full Data'!$F:$F,0))</f>
        <v>106</v>
      </c>
      <c r="V23" t="str">
        <f ca="1"/>
        <v>Accessories</v>
      </c>
    </row>
    <row r="24" spans="1:22" x14ac:dyDescent="0.3">
      <c r="A24" s="2" t="s">
        <v>27</v>
      </c>
      <c r="B24" s="3">
        <v>45723.977905092594</v>
      </c>
      <c r="C24" s="6">
        <v>7</v>
      </c>
      <c r="D24" s="2" t="s">
        <v>37</v>
      </c>
      <c r="E24">
        <v>1005</v>
      </c>
      <c r="F24" s="2" t="s">
        <v>45</v>
      </c>
      <c r="G24">
        <v>7</v>
      </c>
      <c r="H24">
        <v>1336</v>
      </c>
      <c r="I24">
        <f t="shared" si="0"/>
        <v>9352</v>
      </c>
      <c r="J24" t="str" cm="1">
        <f t="array" ref="J24:M24">_xlfn.XLOOKUP(F24,Products!A:A,Products!B:E)</f>
        <v>Office</v>
      </c>
      <c r="K24">
        <v>1635</v>
      </c>
      <c r="L24">
        <v>136</v>
      </c>
      <c r="M24" s="6">
        <v>0.1</v>
      </c>
      <c r="N24" s="6">
        <f>Append1[[#This Row],[Revenue]]-(Finance_Data!B23+Finance_Data!C23+Finance_Data!D23)</f>
        <v>9352</v>
      </c>
      <c r="O24" s="6">
        <f>Table10[[#Totals],[DeliveryDays]]</f>
        <v>4.8888888888888893</v>
      </c>
      <c r="P24" s="6">
        <f>Table10[[#Totals],[ReturnRate]]</f>
        <v>5.0555555555555527E-2</v>
      </c>
      <c r="Q24" s="6">
        <f t="shared" si="1"/>
        <v>0.19470217777991444</v>
      </c>
      <c r="R24" s="6">
        <f t="shared" si="2"/>
        <v>8416.8000000000011</v>
      </c>
      <c r="S24" s="6">
        <f>I24-(G24*H24)-Finance_Data!B23</f>
        <v>0</v>
      </c>
      <c r="T24" s="6" t="str">
        <f>IF(I24&gt;50000,"VIP",IF(I24&lt;20000,"Low Value",IF(B24&gt;=20000-50000,"Regular")))</f>
        <v>Low Value</v>
      </c>
      <c r="U24" s="6">
        <f>INDEX('Full Data'!$K:$K,MATCH(F24,'Full Data'!$F:$F,0))</f>
        <v>1635</v>
      </c>
      <c r="V24" t="str">
        <f ca="1"/>
        <v>Office</v>
      </c>
    </row>
    <row r="25" spans="1:22" x14ac:dyDescent="0.3">
      <c r="A25" s="2" t="s">
        <v>28</v>
      </c>
      <c r="B25" s="3">
        <v>45662.648842592593</v>
      </c>
      <c r="C25" s="6">
        <v>3</v>
      </c>
      <c r="D25" s="2" t="s">
        <v>37</v>
      </c>
      <c r="E25">
        <v>1006</v>
      </c>
      <c r="F25" s="2" t="s">
        <v>44</v>
      </c>
      <c r="G25">
        <v>3</v>
      </c>
      <c r="H25">
        <v>1752</v>
      </c>
      <c r="I25">
        <f t="shared" si="0"/>
        <v>5256</v>
      </c>
      <c r="J25" t="str" cm="1">
        <f t="array" ref="J25:M25">_xlfn.XLOOKUP(F25,Products!A:A,Products!B:E)</f>
        <v>Electronics</v>
      </c>
      <c r="K25">
        <v>1299</v>
      </c>
      <c r="L25">
        <v>469</v>
      </c>
      <c r="M25" s="6">
        <v>0.22</v>
      </c>
      <c r="N25" s="6">
        <f>Append1[[#This Row],[Revenue]]-(Finance_Data!B24+Finance_Data!C24+Finance_Data!D24)</f>
        <v>5256</v>
      </c>
      <c r="O25" s="6">
        <f>Table10[[#Totals],[DeliveryDays]]</f>
        <v>4.8888888888888893</v>
      </c>
      <c r="P25" s="6">
        <f>Table10[[#Totals],[ReturnRate]]</f>
        <v>5.0555555555555527E-2</v>
      </c>
      <c r="Q25" s="6">
        <f t="shared" si="1"/>
        <v>0.19470217777991444</v>
      </c>
      <c r="R25" s="6">
        <f t="shared" si="2"/>
        <v>4099.68</v>
      </c>
      <c r="S25" s="6">
        <f>I25-(G25*H25)-Finance_Data!B24</f>
        <v>0</v>
      </c>
      <c r="T25" s="6" t="str">
        <f>IF(I25&gt;50000,"VIP",IF(I25&lt;20000,"Low Value",IF(B25&gt;=20000-50000,"Regular")))</f>
        <v>Low Value</v>
      </c>
      <c r="U25" s="6">
        <f>INDEX('Full Data'!$K:$K,MATCH(F25,'Full Data'!$F:$F,0))</f>
        <v>1299</v>
      </c>
      <c r="V25" t="str">
        <f ca="1"/>
        <v>Electronics</v>
      </c>
    </row>
    <row r="26" spans="1:22" x14ac:dyDescent="0.3">
      <c r="A26" s="2" t="s">
        <v>29</v>
      </c>
      <c r="B26" s="3">
        <v>45715.878263888888</v>
      </c>
      <c r="C26" s="6">
        <v>1</v>
      </c>
      <c r="D26" s="2" t="s">
        <v>38</v>
      </c>
      <c r="E26">
        <v>1020</v>
      </c>
      <c r="F26" s="2" t="s">
        <v>41</v>
      </c>
      <c r="G26">
        <v>8</v>
      </c>
      <c r="H26">
        <v>911</v>
      </c>
      <c r="I26">
        <f t="shared" si="0"/>
        <v>7288</v>
      </c>
      <c r="J26" t="str" cm="1">
        <f t="array" ref="J26:M26">_xlfn.XLOOKUP(F26,Products!A:A,Products!B:E)</f>
        <v>Accessories</v>
      </c>
      <c r="K26">
        <v>106</v>
      </c>
      <c r="L26">
        <v>323</v>
      </c>
      <c r="M26" s="6">
        <v>0.1</v>
      </c>
      <c r="N26" s="6">
        <f>Append1[[#This Row],[Revenue]]-(Finance_Data!B25+Finance_Data!C25+Finance_Data!D25)</f>
        <v>7288</v>
      </c>
      <c r="O26" s="6">
        <f>Table10[[#Totals],[DeliveryDays]]</f>
        <v>4.8888888888888893</v>
      </c>
      <c r="P26" s="6">
        <f>Table10[[#Totals],[ReturnRate]]</f>
        <v>5.0555555555555527E-2</v>
      </c>
      <c r="Q26" s="6">
        <f t="shared" si="1"/>
        <v>0.19470217777991444</v>
      </c>
      <c r="R26" s="6">
        <f t="shared" si="2"/>
        <v>6559.2</v>
      </c>
      <c r="S26" s="6">
        <f>I26-(G26*H26)-Finance_Data!B25</f>
        <v>0</v>
      </c>
      <c r="T26" s="6" t="str">
        <f>IF(I26&gt;50000,"VIP",IF(I26&lt;20000,"Low Value",IF(B26&gt;=20000-50000,"Regular")))</f>
        <v>Low Value</v>
      </c>
      <c r="U26" s="6">
        <f>INDEX('Full Data'!$K:$K,MATCH(F26,'Full Data'!$F:$F,0))</f>
        <v>106</v>
      </c>
      <c r="V26" t="str">
        <f ca="1"/>
        <v>Accessories</v>
      </c>
    </row>
    <row r="27" spans="1:22" x14ac:dyDescent="0.3">
      <c r="A27" s="2" t="s">
        <v>30</v>
      </c>
      <c r="B27" s="3">
        <v>45710.772175925929</v>
      </c>
      <c r="C27" s="6">
        <v>9</v>
      </c>
      <c r="D27" s="2" t="s">
        <v>36</v>
      </c>
      <c r="E27">
        <v>1007</v>
      </c>
      <c r="F27" s="2" t="s">
        <v>42</v>
      </c>
      <c r="G27">
        <v>8</v>
      </c>
      <c r="H27">
        <v>1770</v>
      </c>
      <c r="I27">
        <f t="shared" si="0"/>
        <v>14160</v>
      </c>
      <c r="J27" t="str" cm="1">
        <f t="array" ref="J27:M27">_xlfn.XLOOKUP(F27,Products!A:A,Products!B:E)</f>
        <v>Electronics</v>
      </c>
      <c r="K27">
        <v>396</v>
      </c>
      <c r="L27">
        <v>463</v>
      </c>
      <c r="M27" s="6">
        <v>0.23</v>
      </c>
      <c r="N27" s="6">
        <f>Append1[[#This Row],[Revenue]]-(Finance_Data!B26+Finance_Data!C26+Finance_Data!D26)</f>
        <v>14160</v>
      </c>
      <c r="O27" s="6">
        <f>Table10[[#Totals],[DeliveryDays]]</f>
        <v>4.8888888888888893</v>
      </c>
      <c r="P27" s="6">
        <f>Table10[[#Totals],[ReturnRate]]</f>
        <v>5.0555555555555527E-2</v>
      </c>
      <c r="Q27" s="6">
        <f t="shared" si="1"/>
        <v>0.19470217777991444</v>
      </c>
      <c r="R27" s="6">
        <f t="shared" si="2"/>
        <v>10903.2</v>
      </c>
      <c r="S27" s="6">
        <f>I27-(G27*H27)-Finance_Data!B26</f>
        <v>0</v>
      </c>
      <c r="T27" s="6" t="str">
        <f>IF(I27&gt;50000,"VIP",IF(I27&lt;20000,"Low Value",IF(B27&gt;=20000-50000,"Regular")))</f>
        <v>Low Value</v>
      </c>
      <c r="U27" s="6">
        <f>INDEX('Full Data'!$K:$K,MATCH(F27,'Full Data'!$F:$F,0))</f>
        <v>396</v>
      </c>
      <c r="V27" t="str">
        <f ca="1"/>
        <v>Electronics</v>
      </c>
    </row>
    <row r="28" spans="1:22" x14ac:dyDescent="0.3">
      <c r="A28" s="2" t="s">
        <v>31</v>
      </c>
      <c r="B28" s="3">
        <v>45660.179594907408</v>
      </c>
      <c r="C28" s="6">
        <v>3</v>
      </c>
      <c r="D28" s="2" t="s">
        <v>39</v>
      </c>
      <c r="E28">
        <v>1009</v>
      </c>
      <c r="F28" s="2" t="s">
        <v>41</v>
      </c>
      <c r="G28">
        <v>1</v>
      </c>
      <c r="H28">
        <v>1841</v>
      </c>
      <c r="I28">
        <f t="shared" si="0"/>
        <v>1841</v>
      </c>
      <c r="J28" t="str" cm="1">
        <f t="array" ref="J28:M28">_xlfn.XLOOKUP(F28,Products!A:A,Products!B:E)</f>
        <v>Accessories</v>
      </c>
      <c r="K28">
        <v>106</v>
      </c>
      <c r="L28">
        <v>323</v>
      </c>
      <c r="M28" s="6">
        <v>0.1</v>
      </c>
      <c r="N28" s="6">
        <f>Append1[[#This Row],[Revenue]]-(Finance_Data!B27+Finance_Data!C27+Finance_Data!D27)</f>
        <v>1841</v>
      </c>
      <c r="O28" s="6">
        <f>Table10[[#Totals],[DeliveryDays]]</f>
        <v>4.8888888888888893</v>
      </c>
      <c r="P28" s="6">
        <f>Table10[[#Totals],[ReturnRate]]</f>
        <v>5.0555555555555527E-2</v>
      </c>
      <c r="Q28" s="6">
        <f t="shared" si="1"/>
        <v>0.19470217777991444</v>
      </c>
      <c r="R28" s="6">
        <f t="shared" si="2"/>
        <v>1656.9</v>
      </c>
      <c r="S28" s="6">
        <f>I28-(G28*H28)-Finance_Data!B27</f>
        <v>0</v>
      </c>
      <c r="T28" s="6" t="str">
        <f>IF(I28&gt;50000,"VIP",IF(I28&lt;20000,"Low Value",IF(B28&gt;=20000-50000,"Regular")))</f>
        <v>Low Value</v>
      </c>
      <c r="U28" s="6">
        <f>INDEX('Full Data'!$K:$K,MATCH(F28,'Full Data'!$F:$F,0))</f>
        <v>106</v>
      </c>
      <c r="V28" t="str">
        <f ca="1"/>
        <v>Accessories</v>
      </c>
    </row>
    <row r="29" spans="1:22" x14ac:dyDescent="0.3">
      <c r="A29" s="2" t="s">
        <v>32</v>
      </c>
      <c r="B29" s="3">
        <v>45718.188310185193</v>
      </c>
      <c r="C29" s="6">
        <v>6</v>
      </c>
      <c r="D29" s="2" t="s">
        <v>38</v>
      </c>
      <c r="E29">
        <v>1001</v>
      </c>
      <c r="F29" s="2" t="s">
        <v>42</v>
      </c>
      <c r="G29">
        <v>7</v>
      </c>
      <c r="H29">
        <v>796</v>
      </c>
      <c r="I29">
        <f t="shared" si="0"/>
        <v>5572</v>
      </c>
      <c r="J29" t="str" cm="1">
        <f t="array" ref="J29:M29">_xlfn.XLOOKUP(F29,Products!A:A,Products!B:E)</f>
        <v>Electronics</v>
      </c>
      <c r="K29">
        <v>396</v>
      </c>
      <c r="L29">
        <v>463</v>
      </c>
      <c r="M29" s="6">
        <v>0.23</v>
      </c>
      <c r="N29" s="6">
        <f>Append1[[#This Row],[Revenue]]-(Finance_Data!B28+Finance_Data!C28+Finance_Data!D28)</f>
        <v>5572</v>
      </c>
      <c r="O29" s="6">
        <f>Table10[[#Totals],[DeliveryDays]]</f>
        <v>4.8888888888888893</v>
      </c>
      <c r="P29" s="6">
        <f>Table10[[#Totals],[ReturnRate]]</f>
        <v>5.0555555555555527E-2</v>
      </c>
      <c r="Q29" s="6">
        <f t="shared" si="1"/>
        <v>0.19470217777991444</v>
      </c>
      <c r="R29" s="6">
        <f t="shared" si="2"/>
        <v>4290.4400000000005</v>
      </c>
      <c r="S29" s="6">
        <f>I29-(G29*H29)-Finance_Data!B28</f>
        <v>0</v>
      </c>
      <c r="T29" s="6" t="str">
        <f>IF(I29&gt;50000,"VIP",IF(I29&lt;20000,"Low Value",IF(B29&gt;=20000-50000,"Regular")))</f>
        <v>Low Value</v>
      </c>
      <c r="U29" s="6">
        <f>INDEX('Full Data'!$K:$K,MATCH(F29,'Full Data'!$F:$F,0))</f>
        <v>396</v>
      </c>
      <c r="V29" t="str">
        <f ca="1"/>
        <v>Electronics</v>
      </c>
    </row>
    <row r="30" spans="1:22" x14ac:dyDescent="0.3">
      <c r="A30" s="2" t="s">
        <v>33</v>
      </c>
      <c r="B30" s="3">
        <v>45685.123541666668</v>
      </c>
      <c r="C30" s="6">
        <v>2</v>
      </c>
      <c r="D30" s="2" t="s">
        <v>37</v>
      </c>
      <c r="E30">
        <v>1003</v>
      </c>
      <c r="F30" s="2" t="s">
        <v>42</v>
      </c>
      <c r="G30">
        <v>6</v>
      </c>
      <c r="H30">
        <v>1011</v>
      </c>
      <c r="I30">
        <f t="shared" si="0"/>
        <v>6066</v>
      </c>
      <c r="J30" t="str" cm="1">
        <f t="array" ref="J30:M30">_xlfn.XLOOKUP(F30,Products!A:A,Products!B:E)</f>
        <v>Electronics</v>
      </c>
      <c r="K30">
        <v>396</v>
      </c>
      <c r="L30">
        <v>463</v>
      </c>
      <c r="M30" s="6">
        <v>0.23</v>
      </c>
      <c r="N30" s="6">
        <f>Append1[[#This Row],[Revenue]]-(Finance_Data!B29+Finance_Data!C29+Finance_Data!D29)</f>
        <v>6066</v>
      </c>
      <c r="O30" s="6">
        <f>Table10[[#Totals],[DeliveryDays]]</f>
        <v>4.8888888888888893</v>
      </c>
      <c r="P30" s="6">
        <f>Table10[[#Totals],[ReturnRate]]</f>
        <v>5.0555555555555527E-2</v>
      </c>
      <c r="Q30" s="6">
        <f t="shared" si="1"/>
        <v>0.19470217777991444</v>
      </c>
      <c r="R30" s="6">
        <f t="shared" si="2"/>
        <v>4670.82</v>
      </c>
      <c r="S30" s="6">
        <f>I30-(G30*H30)-Finance_Data!B29</f>
        <v>0</v>
      </c>
      <c r="T30" s="6" t="str">
        <f>IF(I30&gt;50000,"VIP",IF(I30&lt;20000,"Low Value",IF(B30&gt;=20000-50000,"Regular")))</f>
        <v>Low Value</v>
      </c>
      <c r="U30" s="6">
        <f>INDEX('Full Data'!$K:$K,MATCH(F30,'Full Data'!$F:$F,0))</f>
        <v>396</v>
      </c>
      <c r="V30" t="str">
        <f ca="1"/>
        <v>Electronics</v>
      </c>
    </row>
    <row r="31" spans="1:22" x14ac:dyDescent="0.3">
      <c r="A31" s="2" t="s">
        <v>34</v>
      </c>
      <c r="B31" s="3">
        <v>45722.085451388892</v>
      </c>
      <c r="C31" s="6">
        <v>9</v>
      </c>
      <c r="D31" s="2" t="s">
        <v>37</v>
      </c>
      <c r="E31">
        <v>1011</v>
      </c>
      <c r="F31" s="2" t="s">
        <v>45</v>
      </c>
      <c r="G31">
        <v>2</v>
      </c>
      <c r="H31">
        <v>1660</v>
      </c>
      <c r="I31">
        <f t="shared" si="0"/>
        <v>3320</v>
      </c>
      <c r="J31" t="str" cm="1">
        <f t="array" ref="J31:M31">_xlfn.XLOOKUP(F31,Products!A:A,Products!B:E)</f>
        <v>Office</v>
      </c>
      <c r="K31">
        <v>1635</v>
      </c>
      <c r="L31">
        <v>136</v>
      </c>
      <c r="M31" s="6">
        <v>0.1</v>
      </c>
      <c r="N31" s="6">
        <f>Append1[[#This Row],[Revenue]]-(Finance_Data!B30+Finance_Data!C30+Finance_Data!D30)</f>
        <v>3320</v>
      </c>
      <c r="O31" s="6">
        <f>Table10[[#Totals],[DeliveryDays]]</f>
        <v>4.8888888888888893</v>
      </c>
      <c r="P31" s="6">
        <f>Table10[[#Totals],[ReturnRate]]</f>
        <v>5.0555555555555527E-2</v>
      </c>
      <c r="Q31" s="6">
        <f t="shared" si="1"/>
        <v>0.19470217777991444</v>
      </c>
      <c r="R31" s="6">
        <f t="shared" si="2"/>
        <v>2988</v>
      </c>
      <c r="S31" s="6">
        <f>I31-(G31*H31)-Finance_Data!B30</f>
        <v>0</v>
      </c>
      <c r="T31" s="6" t="str">
        <f>IF(I31&gt;50000,"VIP",IF(I31&lt;20000,"Low Value",IF(B31&gt;=20000-50000,"Regular")))</f>
        <v>Low Value</v>
      </c>
      <c r="U31" s="6">
        <f>INDEX('Full Data'!$K:$K,MATCH(F31,'Full Data'!$F:$F,0))</f>
        <v>1635</v>
      </c>
      <c r="V31" t="str">
        <f ca="1"/>
        <v>Office</v>
      </c>
    </row>
    <row r="32" spans="1:22" x14ac:dyDescent="0.3">
      <c r="A32" s="2" t="s">
        <v>35</v>
      </c>
      <c r="B32" s="3">
        <v>45666.62767361111</v>
      </c>
      <c r="C32" s="6">
        <v>2</v>
      </c>
      <c r="D32" s="2" t="s">
        <v>38</v>
      </c>
      <c r="E32">
        <v>1016</v>
      </c>
      <c r="F32" s="2" t="s">
        <v>42</v>
      </c>
      <c r="G32">
        <v>5</v>
      </c>
      <c r="H32">
        <v>1119</v>
      </c>
      <c r="I32">
        <f t="shared" si="0"/>
        <v>5595</v>
      </c>
      <c r="J32" t="str" cm="1">
        <f t="array" ref="J32:M32">_xlfn.XLOOKUP(F32,Products!A:A,Products!B:E)</f>
        <v>Electronics</v>
      </c>
      <c r="K32">
        <v>396</v>
      </c>
      <c r="L32">
        <v>463</v>
      </c>
      <c r="M32" s="6">
        <v>0.23</v>
      </c>
      <c r="N32" s="6">
        <f>Append1[[#This Row],[Revenue]]-(Finance_Data!B31+Finance_Data!C31+Finance_Data!D31)</f>
        <v>5595</v>
      </c>
      <c r="O32" s="6">
        <f>Table10[[#Totals],[DeliveryDays]]</f>
        <v>4.8888888888888893</v>
      </c>
      <c r="P32" s="6">
        <f>Table10[[#Totals],[ReturnRate]]</f>
        <v>5.0555555555555527E-2</v>
      </c>
      <c r="Q32" s="6">
        <f t="shared" si="1"/>
        <v>0.19470217777991444</v>
      </c>
      <c r="R32" s="6">
        <f t="shared" si="2"/>
        <v>4308.1500000000005</v>
      </c>
      <c r="S32" s="6">
        <f>I32-(G32*H32)-Finance_Data!B31</f>
        <v>0</v>
      </c>
      <c r="T32" s="6" t="str">
        <f>IF(I32&gt;50000,"VIP",IF(I32&lt;20000,"Low Value",IF(B32&gt;=20000-50000,"Regular")))</f>
        <v>Low Value</v>
      </c>
      <c r="U32" s="6">
        <f>INDEX('Full Data'!$K:$K,MATCH(F32,'Full Data'!$F:$F,0))</f>
        <v>396</v>
      </c>
      <c r="V32" t="str">
        <f ca="1"/>
        <v>Electronics</v>
      </c>
    </row>
    <row r="33" spans="1:22" x14ac:dyDescent="0.3">
      <c r="A33" s="2" t="s">
        <v>105</v>
      </c>
      <c r="B33" s="3">
        <v>45770.271574074082</v>
      </c>
      <c r="C33" s="6">
        <v>6</v>
      </c>
      <c r="D33" s="2" t="s">
        <v>39</v>
      </c>
      <c r="E33">
        <v>1016</v>
      </c>
      <c r="F33" s="2" t="s">
        <v>40</v>
      </c>
      <c r="G33">
        <v>7</v>
      </c>
      <c r="H33">
        <v>1039</v>
      </c>
      <c r="I33">
        <f t="shared" si="0"/>
        <v>7273</v>
      </c>
      <c r="J33" t="str" cm="1">
        <f t="array" ref="J33:M33">_xlfn.XLOOKUP(F33,Products!A:A,Products!B:E)</f>
        <v>Electronics</v>
      </c>
      <c r="K33">
        <v>1613</v>
      </c>
      <c r="L33">
        <v>492</v>
      </c>
      <c r="M33" s="6">
        <v>0.14000000000000001</v>
      </c>
      <c r="N33" s="6">
        <f>Append1[[#This Row],[Revenue]]-(Finance_Data!B32+Finance_Data!C32+Finance_Data!D32)</f>
        <v>7273</v>
      </c>
      <c r="O33" s="6">
        <f>Table10[[#Totals],[DeliveryDays]]</f>
        <v>4.8888888888888893</v>
      </c>
      <c r="P33" s="6">
        <f>Table10[[#Totals],[ReturnRate]]</f>
        <v>5.0555555555555527E-2</v>
      </c>
      <c r="Q33" s="6">
        <f t="shared" si="1"/>
        <v>0.19470217777991444</v>
      </c>
      <c r="R33" s="6">
        <f t="shared" si="2"/>
        <v>6254.78</v>
      </c>
      <c r="S33" s="6">
        <f>I33-(G33*H33)-Finance_Data!B32</f>
        <v>0</v>
      </c>
      <c r="T33" s="6" t="str">
        <f>IF(I33&gt;50000,"VIP",IF(I33&lt;20000,"Low Value",IF(B33&gt;=20000-50000,"Regular")))</f>
        <v>Low Value</v>
      </c>
      <c r="U33" s="6">
        <f>INDEX('Full Data'!$K:$K,MATCH(F33,'Full Data'!$F:$F,0))</f>
        <v>1613</v>
      </c>
      <c r="V33" t="str">
        <f ca="1"/>
        <v>Electronics</v>
      </c>
    </row>
    <row r="34" spans="1:22" x14ac:dyDescent="0.3">
      <c r="A34" s="2" t="s">
        <v>104</v>
      </c>
      <c r="B34" s="3">
        <v>45821.985358796293</v>
      </c>
      <c r="C34" s="6">
        <v>5</v>
      </c>
      <c r="D34" s="2" t="s">
        <v>37</v>
      </c>
      <c r="E34">
        <v>1010</v>
      </c>
      <c r="F34" s="2" t="s">
        <v>43</v>
      </c>
      <c r="G34">
        <v>2</v>
      </c>
      <c r="H34">
        <v>809</v>
      </c>
      <c r="I34">
        <f t="shared" si="0"/>
        <v>1618</v>
      </c>
      <c r="J34" t="str" cm="1">
        <f t="array" ref="J34:M34">_xlfn.XLOOKUP(F34,Products!A:A,Products!B:E)</f>
        <v>Electronics</v>
      </c>
      <c r="K34">
        <v>1402</v>
      </c>
      <c r="L34">
        <v>97</v>
      </c>
      <c r="M34" s="6">
        <v>0.08</v>
      </c>
      <c r="N34" s="6">
        <f>Append1[[#This Row],[Revenue]]-(Finance_Data!B33+Finance_Data!C33+Finance_Data!D33)</f>
        <v>1618</v>
      </c>
      <c r="O34" s="6">
        <f>Table10[[#Totals],[DeliveryDays]]</f>
        <v>4.8888888888888893</v>
      </c>
      <c r="P34" s="6">
        <f>Table10[[#Totals],[ReturnRate]]</f>
        <v>5.0555555555555527E-2</v>
      </c>
      <c r="Q34" s="6">
        <f t="shared" si="1"/>
        <v>0.19470217777991444</v>
      </c>
      <c r="R34" s="6">
        <f t="shared" si="2"/>
        <v>1488.5600000000002</v>
      </c>
      <c r="S34" s="6">
        <f>I34-(G34*H34)-Finance_Data!B33</f>
        <v>0</v>
      </c>
      <c r="T34" s="6" t="str">
        <f>IF(I34&gt;50000,"VIP",IF(I34&lt;20000,"Low Value",IF(B34&gt;=20000-50000,"Regular")))</f>
        <v>Low Value</v>
      </c>
      <c r="U34" s="6">
        <f>INDEX('Full Data'!$K:$K,MATCH(F34,'Full Data'!$F:$F,0))</f>
        <v>1402</v>
      </c>
      <c r="V34" t="str">
        <f ca="1"/>
        <v>Electronics</v>
      </c>
    </row>
    <row r="35" spans="1:22" x14ac:dyDescent="0.3">
      <c r="A35" s="2" t="s">
        <v>103</v>
      </c>
      <c r="B35" s="3">
        <v>45774.624965277777</v>
      </c>
      <c r="C35" s="6">
        <v>3</v>
      </c>
      <c r="D35" s="2" t="s">
        <v>37</v>
      </c>
      <c r="E35">
        <v>1014</v>
      </c>
      <c r="F35" s="2" t="s">
        <v>42</v>
      </c>
      <c r="G35">
        <v>5</v>
      </c>
      <c r="H35">
        <v>1951</v>
      </c>
      <c r="I35">
        <f t="shared" si="0"/>
        <v>9755</v>
      </c>
      <c r="J35" t="str" cm="1">
        <f t="array" ref="J35:M35">_xlfn.XLOOKUP(F35,Products!A:A,Products!B:E)</f>
        <v>Electronics</v>
      </c>
      <c r="K35">
        <v>396</v>
      </c>
      <c r="L35">
        <v>463</v>
      </c>
      <c r="M35" s="6">
        <v>0.23</v>
      </c>
      <c r="N35" s="6">
        <f>Append1[[#This Row],[Revenue]]-(Finance_Data!B34+Finance_Data!C34+Finance_Data!D34)</f>
        <v>9755</v>
      </c>
      <c r="O35" s="6">
        <f>Table10[[#Totals],[DeliveryDays]]</f>
        <v>4.8888888888888893</v>
      </c>
      <c r="P35" s="6">
        <f>Table10[[#Totals],[ReturnRate]]</f>
        <v>5.0555555555555527E-2</v>
      </c>
      <c r="Q35" s="6">
        <f t="shared" si="1"/>
        <v>0.19470217777991444</v>
      </c>
      <c r="R35" s="6">
        <f t="shared" si="2"/>
        <v>7511.35</v>
      </c>
      <c r="S35" s="6">
        <f>I35-(G35*H35)-Finance_Data!B34</f>
        <v>0</v>
      </c>
      <c r="T35" s="6" t="str">
        <f>IF(I35&gt;50000,"VIP",IF(I35&lt;20000,"Low Value",IF(B35&gt;=20000-50000,"Regular")))</f>
        <v>Low Value</v>
      </c>
      <c r="U35" s="6">
        <f>INDEX('Full Data'!$K:$K,MATCH(F35,'Full Data'!$F:$F,0))</f>
        <v>396</v>
      </c>
      <c r="V35" t="str">
        <f ca="1"/>
        <v>Electronics</v>
      </c>
    </row>
    <row r="36" spans="1:22" x14ac:dyDescent="0.3">
      <c r="A36" s="2" t="s">
        <v>102</v>
      </c>
      <c r="B36" s="3">
        <v>45789.475810185177</v>
      </c>
      <c r="C36" s="6">
        <v>9</v>
      </c>
      <c r="D36" s="2" t="s">
        <v>36</v>
      </c>
      <c r="E36">
        <v>1009</v>
      </c>
      <c r="F36" s="2" t="s">
        <v>43</v>
      </c>
      <c r="G36">
        <v>1</v>
      </c>
      <c r="H36">
        <v>1187</v>
      </c>
      <c r="I36">
        <f t="shared" si="0"/>
        <v>1187</v>
      </c>
      <c r="J36" t="str" cm="1">
        <f t="array" ref="J36:M36">_xlfn.XLOOKUP(F36,Products!A:A,Products!B:E)</f>
        <v>Electronics</v>
      </c>
      <c r="K36">
        <v>1402</v>
      </c>
      <c r="L36">
        <v>97</v>
      </c>
      <c r="M36" s="6">
        <v>0.08</v>
      </c>
      <c r="N36" s="6">
        <f>Append1[[#This Row],[Revenue]]-(Finance_Data!B35+Finance_Data!C35+Finance_Data!D35)</f>
        <v>1187</v>
      </c>
      <c r="O36" s="6">
        <f>Table10[[#Totals],[DeliveryDays]]</f>
        <v>4.8888888888888893</v>
      </c>
      <c r="P36" s="6">
        <f>Table10[[#Totals],[ReturnRate]]</f>
        <v>5.0555555555555527E-2</v>
      </c>
      <c r="Q36" s="6">
        <f t="shared" si="1"/>
        <v>0.19470217777991444</v>
      </c>
      <c r="R36" s="6">
        <f t="shared" si="2"/>
        <v>1092.04</v>
      </c>
      <c r="S36" s="6">
        <f>I36-(G36*H36)-Finance_Data!B35</f>
        <v>0</v>
      </c>
      <c r="T36" s="6" t="str">
        <f>IF(I36&gt;50000,"VIP",IF(I36&lt;20000,"Low Value",IF(B36&gt;=20000-50000,"Regular")))</f>
        <v>Low Value</v>
      </c>
      <c r="U36" s="6">
        <f>INDEX('Full Data'!$K:$K,MATCH(F36,'Full Data'!$F:$F,0))</f>
        <v>1402</v>
      </c>
      <c r="V36" t="str">
        <f ca="1"/>
        <v>Electronics</v>
      </c>
    </row>
    <row r="37" spans="1:22" x14ac:dyDescent="0.3">
      <c r="A37" s="2" t="s">
        <v>101</v>
      </c>
      <c r="B37" s="3">
        <v>45771.114571759259</v>
      </c>
      <c r="C37" s="6">
        <v>4</v>
      </c>
      <c r="D37" s="2" t="s">
        <v>39</v>
      </c>
      <c r="E37">
        <v>1018</v>
      </c>
      <c r="F37" s="2" t="s">
        <v>41</v>
      </c>
      <c r="G37">
        <v>9</v>
      </c>
      <c r="H37">
        <v>1259</v>
      </c>
      <c r="I37">
        <f t="shared" si="0"/>
        <v>11331</v>
      </c>
      <c r="J37" t="str" cm="1">
        <f t="array" ref="J37:M37">_xlfn.XLOOKUP(F37,Products!A:A,Products!B:E)</f>
        <v>Accessories</v>
      </c>
      <c r="K37">
        <v>106</v>
      </c>
      <c r="L37">
        <v>323</v>
      </c>
      <c r="M37" s="6">
        <v>0.1</v>
      </c>
      <c r="N37" s="6">
        <f>Append1[[#This Row],[Revenue]]-(Finance_Data!B36+Finance_Data!C36+Finance_Data!D36)</f>
        <v>11331</v>
      </c>
      <c r="O37" s="6">
        <f>Table10[[#Totals],[DeliveryDays]]</f>
        <v>4.8888888888888893</v>
      </c>
      <c r="P37" s="6">
        <f>Table10[[#Totals],[ReturnRate]]</f>
        <v>5.0555555555555527E-2</v>
      </c>
      <c r="Q37" s="6">
        <f t="shared" si="1"/>
        <v>0.19470217777991444</v>
      </c>
      <c r="R37" s="6">
        <f t="shared" si="2"/>
        <v>10197.9</v>
      </c>
      <c r="S37" s="6">
        <f>I37-(G37*H37)-Finance_Data!B36</f>
        <v>0</v>
      </c>
      <c r="T37" s="6" t="str">
        <f>IF(I37&gt;50000,"VIP",IF(I37&lt;20000,"Low Value",IF(B37&gt;=20000-50000,"Regular")))</f>
        <v>Low Value</v>
      </c>
      <c r="U37" s="6">
        <f>INDEX('Full Data'!$K:$K,MATCH(F37,'Full Data'!$F:$F,0))</f>
        <v>106</v>
      </c>
      <c r="V37" t="str">
        <f ca="1"/>
        <v>Accessories</v>
      </c>
    </row>
    <row r="38" spans="1:22" x14ac:dyDescent="0.3">
      <c r="A38" s="2" t="s">
        <v>100</v>
      </c>
      <c r="B38" s="3">
        <v>45833.931319444448</v>
      </c>
      <c r="C38" s="6">
        <v>6</v>
      </c>
      <c r="D38" s="2" t="s">
        <v>39</v>
      </c>
      <c r="E38">
        <v>1010</v>
      </c>
      <c r="F38" s="2" t="s">
        <v>42</v>
      </c>
      <c r="G38">
        <v>6</v>
      </c>
      <c r="H38">
        <v>1460</v>
      </c>
      <c r="I38">
        <f t="shared" si="0"/>
        <v>8760</v>
      </c>
      <c r="J38" t="str" cm="1">
        <f t="array" ref="J38:M38">_xlfn.XLOOKUP(F38,Products!A:A,Products!B:E)</f>
        <v>Electronics</v>
      </c>
      <c r="K38">
        <v>396</v>
      </c>
      <c r="L38">
        <v>463</v>
      </c>
      <c r="M38" s="6">
        <v>0.23</v>
      </c>
      <c r="N38" s="6">
        <f>Append1[[#This Row],[Revenue]]-(Finance_Data!B37+Finance_Data!C37+Finance_Data!D37)</f>
        <v>8760</v>
      </c>
      <c r="O38" s="6">
        <f>Table10[[#Totals],[DeliveryDays]]</f>
        <v>4.8888888888888893</v>
      </c>
      <c r="P38" s="6">
        <f>Table10[[#Totals],[ReturnRate]]</f>
        <v>5.0555555555555527E-2</v>
      </c>
      <c r="Q38" s="6">
        <f t="shared" si="1"/>
        <v>0.19470217777991444</v>
      </c>
      <c r="R38" s="6">
        <f t="shared" si="2"/>
        <v>6745.2</v>
      </c>
      <c r="S38" s="6">
        <f>I38-(G38*H38)-Finance_Data!B37</f>
        <v>0</v>
      </c>
      <c r="T38" s="6" t="str">
        <f>IF(I38&gt;50000,"VIP",IF(I38&lt;20000,"Low Value",IF(B38&gt;=20000-50000,"Regular")))</f>
        <v>Low Value</v>
      </c>
      <c r="U38" s="6">
        <f>INDEX('Full Data'!$K:$K,MATCH(F38,'Full Data'!$F:$F,0))</f>
        <v>396</v>
      </c>
      <c r="V38" t="str">
        <f ca="1"/>
        <v>Electronics</v>
      </c>
    </row>
    <row r="39" spans="1:22" x14ac:dyDescent="0.3">
      <c r="A39" s="2" t="s">
        <v>99</v>
      </c>
      <c r="B39" s="3">
        <v>45766.59642361111</v>
      </c>
      <c r="C39" s="6">
        <v>1</v>
      </c>
      <c r="D39" s="2" t="s">
        <v>38</v>
      </c>
      <c r="E39">
        <v>1010</v>
      </c>
      <c r="F39" s="2" t="s">
        <v>45</v>
      </c>
      <c r="G39">
        <v>5</v>
      </c>
      <c r="H39">
        <v>1485</v>
      </c>
      <c r="I39">
        <f t="shared" si="0"/>
        <v>7425</v>
      </c>
      <c r="J39" t="str" cm="1">
        <f t="array" ref="J39:M39">_xlfn.XLOOKUP(F39,Products!A:A,Products!B:E)</f>
        <v>Office</v>
      </c>
      <c r="K39">
        <v>1635</v>
      </c>
      <c r="L39">
        <v>136</v>
      </c>
      <c r="M39" s="6">
        <v>0.1</v>
      </c>
      <c r="N39" s="6">
        <f>Append1[[#This Row],[Revenue]]-(Finance_Data!B38+Finance_Data!C38+Finance_Data!D38)</f>
        <v>7425</v>
      </c>
      <c r="O39" s="6">
        <f>Table10[[#Totals],[DeliveryDays]]</f>
        <v>4.8888888888888893</v>
      </c>
      <c r="P39" s="6">
        <f>Table10[[#Totals],[ReturnRate]]</f>
        <v>5.0555555555555527E-2</v>
      </c>
      <c r="Q39" s="6">
        <f t="shared" si="1"/>
        <v>0.19470217777991444</v>
      </c>
      <c r="R39" s="6">
        <f t="shared" si="2"/>
        <v>6682.5</v>
      </c>
      <c r="S39" s="6">
        <f>I39-(G39*H39)-Finance_Data!B38</f>
        <v>0</v>
      </c>
      <c r="T39" s="6" t="str">
        <f>IF(I39&gt;50000,"VIP",IF(I39&lt;20000,"Low Value",IF(B39&gt;=20000-50000,"Regular")))</f>
        <v>Low Value</v>
      </c>
      <c r="U39" s="6">
        <f>INDEX('Full Data'!$K:$K,MATCH(F39,'Full Data'!$F:$F,0))</f>
        <v>1635</v>
      </c>
      <c r="V39" t="str">
        <f ca="1"/>
        <v>Office</v>
      </c>
    </row>
    <row r="40" spans="1:22" x14ac:dyDescent="0.3">
      <c r="A40" s="2" t="s">
        <v>98</v>
      </c>
      <c r="B40" s="3">
        <v>45770.167129629634</v>
      </c>
      <c r="C40" s="6">
        <v>4</v>
      </c>
      <c r="D40" s="2" t="s">
        <v>38</v>
      </c>
      <c r="E40">
        <v>1015</v>
      </c>
      <c r="F40" s="2" t="s">
        <v>43</v>
      </c>
      <c r="G40">
        <v>3</v>
      </c>
      <c r="H40">
        <v>1472</v>
      </c>
      <c r="I40">
        <f t="shared" si="0"/>
        <v>4416</v>
      </c>
      <c r="J40" t="str" cm="1">
        <f t="array" ref="J40:M40">_xlfn.XLOOKUP(F40,Products!A:A,Products!B:E)</f>
        <v>Electronics</v>
      </c>
      <c r="K40">
        <v>1402</v>
      </c>
      <c r="L40">
        <v>97</v>
      </c>
      <c r="M40" s="6">
        <v>0.08</v>
      </c>
      <c r="N40" s="6">
        <f>Append1[[#This Row],[Revenue]]-(Finance_Data!B39+Finance_Data!C39+Finance_Data!D39)</f>
        <v>4416</v>
      </c>
      <c r="O40" s="6">
        <f>Table10[[#Totals],[DeliveryDays]]</f>
        <v>4.8888888888888893</v>
      </c>
      <c r="P40" s="6">
        <f>Table10[[#Totals],[ReturnRate]]</f>
        <v>5.0555555555555527E-2</v>
      </c>
      <c r="Q40" s="6">
        <f t="shared" si="1"/>
        <v>0.19470217777991444</v>
      </c>
      <c r="R40" s="6">
        <f t="shared" si="2"/>
        <v>4062.7200000000003</v>
      </c>
      <c r="S40" s="6">
        <f>I40-(G40*H40)-Finance_Data!B39</f>
        <v>0</v>
      </c>
      <c r="T40" s="6" t="str">
        <f>IF(I40&gt;50000,"VIP",IF(I40&lt;20000,"Low Value",IF(B40&gt;=20000-50000,"Regular")))</f>
        <v>Low Value</v>
      </c>
      <c r="U40" s="6">
        <f>INDEX('Full Data'!$K:$K,MATCH(F40,'Full Data'!$F:$F,0))</f>
        <v>1402</v>
      </c>
      <c r="V40" t="str">
        <f ca="1"/>
        <v>Electronics</v>
      </c>
    </row>
    <row r="41" spans="1:22" x14ac:dyDescent="0.3">
      <c r="A41" s="2" t="s">
        <v>97</v>
      </c>
      <c r="B41" s="3">
        <v>45759.131932870368</v>
      </c>
      <c r="C41" s="6">
        <v>7</v>
      </c>
      <c r="D41" s="2" t="s">
        <v>37</v>
      </c>
      <c r="E41">
        <v>1020</v>
      </c>
      <c r="F41" s="2" t="s">
        <v>44</v>
      </c>
      <c r="G41">
        <v>8</v>
      </c>
      <c r="H41">
        <v>1331</v>
      </c>
      <c r="I41">
        <f t="shared" si="0"/>
        <v>10648</v>
      </c>
      <c r="J41" t="str" cm="1">
        <f t="array" ref="J41:M41">_xlfn.XLOOKUP(F41,Products!A:A,Products!B:E)</f>
        <v>Electronics</v>
      </c>
      <c r="K41">
        <v>1299</v>
      </c>
      <c r="L41">
        <v>469</v>
      </c>
      <c r="M41" s="6">
        <v>0.22</v>
      </c>
      <c r="N41" s="6">
        <f>Append1[[#This Row],[Revenue]]-(Finance_Data!B40+Finance_Data!C40+Finance_Data!D40)</f>
        <v>10648</v>
      </c>
      <c r="O41" s="6">
        <f>Table10[[#Totals],[DeliveryDays]]</f>
        <v>4.8888888888888893</v>
      </c>
      <c r="P41" s="6">
        <f>Table10[[#Totals],[ReturnRate]]</f>
        <v>5.0555555555555527E-2</v>
      </c>
      <c r="Q41" s="6">
        <f t="shared" si="1"/>
        <v>0.19470217777991444</v>
      </c>
      <c r="R41" s="6">
        <f t="shared" si="2"/>
        <v>8305.44</v>
      </c>
      <c r="S41" s="6">
        <f>I41-(G41*H41)-Finance_Data!B40</f>
        <v>0</v>
      </c>
      <c r="T41" s="6" t="str">
        <f>IF(I41&gt;50000,"VIP",IF(I41&lt;20000,"Low Value",IF(B41&gt;=20000-50000,"Regular")))</f>
        <v>Low Value</v>
      </c>
      <c r="U41" s="6">
        <f>INDEX('Full Data'!$K:$K,MATCH(F41,'Full Data'!$F:$F,0))</f>
        <v>1299</v>
      </c>
      <c r="V41" t="str">
        <f ca="1"/>
        <v>Electronics</v>
      </c>
    </row>
    <row r="42" spans="1:22" x14ac:dyDescent="0.3">
      <c r="A42" s="2" t="s">
        <v>96</v>
      </c>
      <c r="B42" s="3">
        <v>45760.760393518518</v>
      </c>
      <c r="C42" s="6">
        <v>4</v>
      </c>
      <c r="D42" s="2" t="s">
        <v>37</v>
      </c>
      <c r="E42">
        <v>1001</v>
      </c>
      <c r="F42" s="2" t="s">
        <v>43</v>
      </c>
      <c r="G42">
        <v>2</v>
      </c>
      <c r="H42">
        <v>222</v>
      </c>
      <c r="I42">
        <f t="shared" si="0"/>
        <v>444</v>
      </c>
      <c r="J42" t="str" cm="1">
        <f t="array" ref="J42:M42">_xlfn.XLOOKUP(F42,Products!A:A,Products!B:E)</f>
        <v>Electronics</v>
      </c>
      <c r="K42">
        <v>1402</v>
      </c>
      <c r="L42">
        <v>97</v>
      </c>
      <c r="M42" s="6">
        <v>0.08</v>
      </c>
      <c r="N42" s="6">
        <f>Append1[[#This Row],[Revenue]]-(Finance_Data!B41+Finance_Data!C41+Finance_Data!D41)</f>
        <v>444</v>
      </c>
      <c r="O42" s="6">
        <f>Table10[[#Totals],[DeliveryDays]]</f>
        <v>4.8888888888888893</v>
      </c>
      <c r="P42" s="6">
        <f>Table10[[#Totals],[ReturnRate]]</f>
        <v>5.0555555555555527E-2</v>
      </c>
      <c r="Q42" s="6">
        <f t="shared" si="1"/>
        <v>0.19470217777991444</v>
      </c>
      <c r="R42" s="6">
        <f t="shared" si="2"/>
        <v>408.48</v>
      </c>
      <c r="S42" s="6">
        <f>I42-(G42*H42)-Finance_Data!B41</f>
        <v>0</v>
      </c>
      <c r="T42" s="6" t="str">
        <f>IF(I42&gt;50000,"VIP",IF(I42&lt;20000,"Low Value",IF(B42&gt;=20000-50000,"Regular")))</f>
        <v>Low Value</v>
      </c>
      <c r="U42" s="6">
        <f>INDEX('Full Data'!$K:$K,MATCH(F42,'Full Data'!$F:$F,0))</f>
        <v>1402</v>
      </c>
      <c r="V42" t="str">
        <f ca="1"/>
        <v>Electronics</v>
      </c>
    </row>
    <row r="43" spans="1:22" x14ac:dyDescent="0.3">
      <c r="A43" s="2" t="s">
        <v>95</v>
      </c>
      <c r="B43" s="3">
        <v>45754.452418981477</v>
      </c>
      <c r="C43" s="6">
        <v>5</v>
      </c>
      <c r="D43" s="2" t="s">
        <v>36</v>
      </c>
      <c r="E43">
        <v>1012</v>
      </c>
      <c r="F43" s="2" t="s">
        <v>41</v>
      </c>
      <c r="G43">
        <v>3</v>
      </c>
      <c r="H43">
        <v>1781</v>
      </c>
      <c r="I43">
        <f t="shared" si="0"/>
        <v>5343</v>
      </c>
      <c r="J43" t="str" cm="1">
        <f t="array" ref="J43:M43">_xlfn.XLOOKUP(F43,Products!A:A,Products!B:E)</f>
        <v>Accessories</v>
      </c>
      <c r="K43">
        <v>106</v>
      </c>
      <c r="L43">
        <v>323</v>
      </c>
      <c r="M43" s="6">
        <v>0.1</v>
      </c>
      <c r="N43" s="6">
        <f>Append1[[#This Row],[Revenue]]-(Finance_Data!B42+Finance_Data!C42+Finance_Data!D42)</f>
        <v>5343</v>
      </c>
      <c r="O43" s="6">
        <f>Table10[[#Totals],[DeliveryDays]]</f>
        <v>4.8888888888888893</v>
      </c>
      <c r="P43" s="6">
        <f>Table10[[#Totals],[ReturnRate]]</f>
        <v>5.0555555555555527E-2</v>
      </c>
      <c r="Q43" s="6">
        <f t="shared" si="1"/>
        <v>0.19470217777991444</v>
      </c>
      <c r="R43" s="6">
        <f t="shared" si="2"/>
        <v>4808.7</v>
      </c>
      <c r="S43" s="6">
        <f>I43-(G43*H43)-Finance_Data!B42</f>
        <v>0</v>
      </c>
      <c r="T43" s="6" t="str">
        <f>IF(I43&gt;50000,"VIP",IF(I43&lt;20000,"Low Value",IF(B43&gt;=20000-50000,"Regular")))</f>
        <v>Low Value</v>
      </c>
      <c r="U43" s="6">
        <f>INDEX('Full Data'!$K:$K,MATCH(F43,'Full Data'!$F:$F,0))</f>
        <v>106</v>
      </c>
      <c r="V43" t="str">
        <f ca="1"/>
        <v>Accessories</v>
      </c>
    </row>
    <row r="44" spans="1:22" x14ac:dyDescent="0.3">
      <c r="A44" s="2" t="s">
        <v>94</v>
      </c>
      <c r="B44" s="3">
        <v>45823.740358796298</v>
      </c>
      <c r="C44" s="6">
        <v>8</v>
      </c>
      <c r="D44" s="2" t="s">
        <v>37</v>
      </c>
      <c r="E44">
        <v>1001</v>
      </c>
      <c r="F44" s="2" t="s">
        <v>41</v>
      </c>
      <c r="G44">
        <v>2</v>
      </c>
      <c r="H44">
        <v>1545</v>
      </c>
      <c r="I44">
        <f t="shared" si="0"/>
        <v>3090</v>
      </c>
      <c r="J44" t="str" cm="1">
        <f t="array" ref="J44:M44">_xlfn.XLOOKUP(F44,Products!A:A,Products!B:E)</f>
        <v>Accessories</v>
      </c>
      <c r="K44">
        <v>106</v>
      </c>
      <c r="L44">
        <v>323</v>
      </c>
      <c r="M44" s="6">
        <v>0.1</v>
      </c>
      <c r="N44" s="6">
        <f>Append1[[#This Row],[Revenue]]-(Finance_Data!B43+Finance_Data!C43+Finance_Data!D43)</f>
        <v>3090</v>
      </c>
      <c r="O44" s="6">
        <f>Table10[[#Totals],[DeliveryDays]]</f>
        <v>4.8888888888888893</v>
      </c>
      <c r="P44" s="6">
        <f>Table10[[#Totals],[ReturnRate]]</f>
        <v>5.0555555555555527E-2</v>
      </c>
      <c r="Q44" s="6">
        <f t="shared" si="1"/>
        <v>0.19470217777991444</v>
      </c>
      <c r="R44" s="6">
        <f t="shared" si="2"/>
        <v>2781</v>
      </c>
      <c r="S44" s="6">
        <f>I44-(G44*H44)-Finance_Data!B43</f>
        <v>0</v>
      </c>
      <c r="T44" s="6" t="str">
        <f>IF(I44&gt;50000,"VIP",IF(I44&lt;20000,"Low Value",IF(B44&gt;=20000-50000,"Regular")))</f>
        <v>Low Value</v>
      </c>
      <c r="U44" s="6">
        <f>INDEX('Full Data'!$K:$K,MATCH(F44,'Full Data'!$F:$F,0))</f>
        <v>106</v>
      </c>
      <c r="V44" t="str">
        <f ca="1"/>
        <v>Accessories</v>
      </c>
    </row>
    <row r="45" spans="1:22" x14ac:dyDescent="0.3">
      <c r="A45" s="2" t="s">
        <v>93</v>
      </c>
      <c r="B45" s="3">
        <v>45827.390497685177</v>
      </c>
      <c r="C45" s="6">
        <v>7</v>
      </c>
      <c r="D45" s="2" t="s">
        <v>38</v>
      </c>
      <c r="E45">
        <v>1019</v>
      </c>
      <c r="F45" s="2" t="s">
        <v>44</v>
      </c>
      <c r="G45">
        <v>1</v>
      </c>
      <c r="H45">
        <v>1437</v>
      </c>
      <c r="I45">
        <f t="shared" si="0"/>
        <v>1437</v>
      </c>
      <c r="J45" t="str" cm="1">
        <f t="array" ref="J45:M45">_xlfn.XLOOKUP(F45,Products!A:A,Products!B:E)</f>
        <v>Electronics</v>
      </c>
      <c r="K45">
        <v>1299</v>
      </c>
      <c r="L45">
        <v>469</v>
      </c>
      <c r="M45" s="6">
        <v>0.22</v>
      </c>
      <c r="N45" s="6">
        <f>Append1[[#This Row],[Revenue]]-(Finance_Data!B44+Finance_Data!C44+Finance_Data!D44)</f>
        <v>1437</v>
      </c>
      <c r="O45" s="6">
        <f>Table10[[#Totals],[DeliveryDays]]</f>
        <v>4.8888888888888893</v>
      </c>
      <c r="P45" s="6">
        <f>Table10[[#Totals],[ReturnRate]]</f>
        <v>5.0555555555555527E-2</v>
      </c>
      <c r="Q45" s="6">
        <f t="shared" si="1"/>
        <v>0.19470217777991444</v>
      </c>
      <c r="R45" s="6">
        <f t="shared" si="2"/>
        <v>1120.8600000000001</v>
      </c>
      <c r="S45" s="6">
        <f>I45-(G45*H45)-Finance_Data!B44</f>
        <v>0</v>
      </c>
      <c r="T45" s="6" t="str">
        <f>IF(I45&gt;50000,"VIP",IF(I45&lt;20000,"Low Value",IF(B45&gt;=20000-50000,"Regular")))</f>
        <v>Low Value</v>
      </c>
      <c r="U45" s="6">
        <f>INDEX('Full Data'!$K:$K,MATCH(F45,'Full Data'!$F:$F,0))</f>
        <v>1299</v>
      </c>
      <c r="V45" t="str">
        <f ca="1"/>
        <v>Electronics</v>
      </c>
    </row>
    <row r="46" spans="1:22" x14ac:dyDescent="0.3">
      <c r="A46" s="2" t="s">
        <v>92</v>
      </c>
      <c r="B46" s="3">
        <v>45754.479502314818</v>
      </c>
      <c r="C46" s="6">
        <v>4</v>
      </c>
      <c r="D46" s="2" t="s">
        <v>39</v>
      </c>
      <c r="E46">
        <v>1009</v>
      </c>
      <c r="F46" s="2" t="s">
        <v>44</v>
      </c>
      <c r="G46">
        <v>8</v>
      </c>
      <c r="H46">
        <v>1539</v>
      </c>
      <c r="I46">
        <f t="shared" si="0"/>
        <v>12312</v>
      </c>
      <c r="J46" t="str" cm="1">
        <f t="array" ref="J46:M46">_xlfn.XLOOKUP(F46,Products!A:A,Products!B:E)</f>
        <v>Electronics</v>
      </c>
      <c r="K46">
        <v>1299</v>
      </c>
      <c r="L46">
        <v>469</v>
      </c>
      <c r="M46" s="6">
        <v>0.22</v>
      </c>
      <c r="N46" s="6">
        <f>Append1[[#This Row],[Revenue]]-(Finance_Data!B45+Finance_Data!C45+Finance_Data!D45)</f>
        <v>12312</v>
      </c>
      <c r="O46" s="6">
        <f>Table10[[#Totals],[DeliveryDays]]</f>
        <v>4.8888888888888893</v>
      </c>
      <c r="P46" s="6">
        <f>Table10[[#Totals],[ReturnRate]]</f>
        <v>5.0555555555555527E-2</v>
      </c>
      <c r="Q46" s="6">
        <f t="shared" si="1"/>
        <v>0.19470217777991444</v>
      </c>
      <c r="R46" s="6">
        <f t="shared" si="2"/>
        <v>9603.36</v>
      </c>
      <c r="S46" s="6">
        <f>I46-(G46*H46)-Finance_Data!B45</f>
        <v>0</v>
      </c>
      <c r="T46" s="6" t="str">
        <f>IF(I46&gt;50000,"VIP",IF(I46&lt;20000,"Low Value",IF(B46&gt;=20000-50000,"Regular")))</f>
        <v>Low Value</v>
      </c>
      <c r="U46" s="6">
        <f>INDEX('Full Data'!$K:$K,MATCH(F46,'Full Data'!$F:$F,0))</f>
        <v>1299</v>
      </c>
      <c r="V46" t="str">
        <f ca="1"/>
        <v>Electronics</v>
      </c>
    </row>
    <row r="47" spans="1:22" x14ac:dyDescent="0.3">
      <c r="A47" s="2" t="s">
        <v>91</v>
      </c>
      <c r="B47" s="3">
        <v>45788.261284722219</v>
      </c>
      <c r="C47" s="6">
        <v>1</v>
      </c>
      <c r="D47" s="2" t="s">
        <v>39</v>
      </c>
      <c r="E47">
        <v>1013</v>
      </c>
      <c r="F47" s="2" t="s">
        <v>45</v>
      </c>
      <c r="G47">
        <v>2</v>
      </c>
      <c r="H47">
        <v>1414</v>
      </c>
      <c r="I47">
        <f t="shared" si="0"/>
        <v>2828</v>
      </c>
      <c r="J47" t="str" cm="1">
        <f t="array" ref="J47:M47">_xlfn.XLOOKUP(F47,Products!A:A,Products!B:E)</f>
        <v>Office</v>
      </c>
      <c r="K47">
        <v>1635</v>
      </c>
      <c r="L47">
        <v>136</v>
      </c>
      <c r="M47" s="6">
        <v>0.1</v>
      </c>
      <c r="N47" s="6">
        <f>Append1[[#This Row],[Revenue]]-(Finance_Data!B46+Finance_Data!C46+Finance_Data!D46)</f>
        <v>2828</v>
      </c>
      <c r="O47" s="6">
        <f>Table10[[#Totals],[DeliveryDays]]</f>
        <v>4.8888888888888893</v>
      </c>
      <c r="P47" s="6">
        <f>Table10[[#Totals],[ReturnRate]]</f>
        <v>5.0555555555555527E-2</v>
      </c>
      <c r="Q47" s="6">
        <f t="shared" si="1"/>
        <v>0.19470217777991444</v>
      </c>
      <c r="R47" s="6">
        <f t="shared" si="2"/>
        <v>2545.2000000000003</v>
      </c>
      <c r="S47" s="6">
        <f>I47-(G47*H47)-Finance_Data!B46</f>
        <v>0</v>
      </c>
      <c r="T47" s="6" t="str">
        <f>IF(I47&gt;50000,"VIP",IF(I47&lt;20000,"Low Value",IF(B47&gt;=20000-50000,"Regular")))</f>
        <v>Low Value</v>
      </c>
      <c r="U47" s="6">
        <f>INDEX('Full Data'!$K:$K,MATCH(F47,'Full Data'!$F:$F,0))</f>
        <v>1635</v>
      </c>
      <c r="V47" t="str">
        <f ca="1"/>
        <v>Office</v>
      </c>
    </row>
    <row r="48" spans="1:22" x14ac:dyDescent="0.3">
      <c r="A48" s="2" t="s">
        <v>90</v>
      </c>
      <c r="B48" s="3">
        <v>45789.088136574072</v>
      </c>
      <c r="C48" s="6">
        <v>5</v>
      </c>
      <c r="D48" s="2" t="s">
        <v>38</v>
      </c>
      <c r="E48">
        <v>1011</v>
      </c>
      <c r="F48" s="2" t="s">
        <v>41</v>
      </c>
      <c r="G48">
        <v>9</v>
      </c>
      <c r="H48">
        <v>1076</v>
      </c>
      <c r="I48">
        <f t="shared" si="0"/>
        <v>9684</v>
      </c>
      <c r="J48" t="str" cm="1">
        <f t="array" ref="J48:M48">_xlfn.XLOOKUP(F48,Products!A:A,Products!B:E)</f>
        <v>Accessories</v>
      </c>
      <c r="K48">
        <v>106</v>
      </c>
      <c r="L48">
        <v>323</v>
      </c>
      <c r="M48" s="6">
        <v>0.1</v>
      </c>
      <c r="N48" s="6">
        <f>Append1[[#This Row],[Revenue]]-(Finance_Data!B47+Finance_Data!C47+Finance_Data!D47)</f>
        <v>9684</v>
      </c>
      <c r="O48" s="6">
        <f>Table10[[#Totals],[DeliveryDays]]</f>
        <v>4.8888888888888893</v>
      </c>
      <c r="P48" s="6">
        <f>Table10[[#Totals],[ReturnRate]]</f>
        <v>5.0555555555555527E-2</v>
      </c>
      <c r="Q48" s="6">
        <f t="shared" si="1"/>
        <v>0.19470217777991444</v>
      </c>
      <c r="R48" s="6">
        <f t="shared" si="2"/>
        <v>8715.6</v>
      </c>
      <c r="S48" s="6">
        <f>I48-(G48*H48)-Finance_Data!B47</f>
        <v>0</v>
      </c>
      <c r="T48" s="6" t="str">
        <f>IF(I48&gt;50000,"VIP",IF(I48&lt;20000,"Low Value",IF(B48&gt;=20000-50000,"Regular")))</f>
        <v>Low Value</v>
      </c>
      <c r="U48" s="6">
        <f>INDEX('Full Data'!$K:$K,MATCH(F48,'Full Data'!$F:$F,0))</f>
        <v>106</v>
      </c>
      <c r="V48" t="str">
        <f ca="1"/>
        <v>Accessories</v>
      </c>
    </row>
    <row r="49" spans="1:22" x14ac:dyDescent="0.3">
      <c r="A49" s="2" t="s">
        <v>89</v>
      </c>
      <c r="B49" s="3">
        <v>45787.813692129632</v>
      </c>
      <c r="C49" s="6">
        <v>5</v>
      </c>
      <c r="D49" s="2" t="s">
        <v>39</v>
      </c>
      <c r="E49">
        <v>1009</v>
      </c>
      <c r="F49" s="2" t="s">
        <v>45</v>
      </c>
      <c r="G49">
        <v>1</v>
      </c>
      <c r="H49">
        <v>398</v>
      </c>
      <c r="I49">
        <f t="shared" si="0"/>
        <v>398</v>
      </c>
      <c r="J49" t="str" cm="1">
        <f t="array" ref="J49:M49">_xlfn.XLOOKUP(F49,Products!A:A,Products!B:E)</f>
        <v>Office</v>
      </c>
      <c r="K49">
        <v>1635</v>
      </c>
      <c r="L49">
        <v>136</v>
      </c>
      <c r="M49" s="6">
        <v>0.1</v>
      </c>
      <c r="N49" s="6">
        <f>Append1[[#This Row],[Revenue]]-(Finance_Data!B48+Finance_Data!C48+Finance_Data!D48)</f>
        <v>398</v>
      </c>
      <c r="O49" s="6">
        <f>Table10[[#Totals],[DeliveryDays]]</f>
        <v>4.8888888888888893</v>
      </c>
      <c r="P49" s="6">
        <f>Table10[[#Totals],[ReturnRate]]</f>
        <v>5.0555555555555527E-2</v>
      </c>
      <c r="Q49" s="6">
        <f t="shared" si="1"/>
        <v>0.19470217777991444</v>
      </c>
      <c r="R49" s="6">
        <f t="shared" si="2"/>
        <v>358.2</v>
      </c>
      <c r="S49" s="6">
        <f>I49-(G49*H49)-Finance_Data!B48</f>
        <v>0</v>
      </c>
      <c r="T49" s="6" t="str">
        <f>IF(I49&gt;50000,"VIP",IF(I49&lt;20000,"Low Value",IF(B49&gt;=20000-50000,"Regular")))</f>
        <v>Low Value</v>
      </c>
      <c r="U49" s="6">
        <f>INDEX('Full Data'!$K:$K,MATCH(F49,'Full Data'!$F:$F,0))</f>
        <v>1635</v>
      </c>
      <c r="V49" t="str">
        <f ca="1"/>
        <v>Office</v>
      </c>
    </row>
    <row r="50" spans="1:22" x14ac:dyDescent="0.3">
      <c r="A50" s="2" t="s">
        <v>88</v>
      </c>
      <c r="B50" s="3">
        <v>45807.765486111108</v>
      </c>
      <c r="C50" s="6">
        <v>6</v>
      </c>
      <c r="D50" s="2" t="s">
        <v>38</v>
      </c>
      <c r="E50">
        <v>1003</v>
      </c>
      <c r="F50" s="2" t="s">
        <v>41</v>
      </c>
      <c r="G50">
        <v>8</v>
      </c>
      <c r="H50">
        <v>1684</v>
      </c>
      <c r="I50">
        <f t="shared" si="0"/>
        <v>13472</v>
      </c>
      <c r="J50" t="str" cm="1">
        <f t="array" ref="J50:M50">_xlfn.XLOOKUP(F50,Products!A:A,Products!B:E)</f>
        <v>Accessories</v>
      </c>
      <c r="K50">
        <v>106</v>
      </c>
      <c r="L50">
        <v>323</v>
      </c>
      <c r="M50" s="6">
        <v>0.1</v>
      </c>
      <c r="N50" s="6">
        <f>Append1[[#This Row],[Revenue]]-(Finance_Data!B49+Finance_Data!C49+Finance_Data!D49)</f>
        <v>13472</v>
      </c>
      <c r="O50" s="6">
        <f>Table10[[#Totals],[DeliveryDays]]</f>
        <v>4.8888888888888893</v>
      </c>
      <c r="P50" s="6">
        <f>Table10[[#Totals],[ReturnRate]]</f>
        <v>5.0555555555555527E-2</v>
      </c>
      <c r="Q50" s="6">
        <f t="shared" si="1"/>
        <v>0.19470217777991444</v>
      </c>
      <c r="R50" s="6">
        <f t="shared" si="2"/>
        <v>12124.800000000001</v>
      </c>
      <c r="S50" s="6">
        <f>I50-(G50*H50)-Finance_Data!B49</f>
        <v>0</v>
      </c>
      <c r="T50" s="6" t="str">
        <f>IF(I50&gt;50000,"VIP",IF(I50&lt;20000,"Low Value",IF(B50&gt;=20000-50000,"Regular")))</f>
        <v>Low Value</v>
      </c>
      <c r="U50" s="6">
        <f>INDEX('Full Data'!$K:$K,MATCH(F50,'Full Data'!$F:$F,0))</f>
        <v>106</v>
      </c>
      <c r="V50" t="str">
        <f ca="1"/>
        <v>Accessories</v>
      </c>
    </row>
    <row r="51" spans="1:22" x14ac:dyDescent="0.3">
      <c r="A51" s="2" t="s">
        <v>87</v>
      </c>
      <c r="B51" s="3">
        <v>45749.992546296293</v>
      </c>
      <c r="C51" s="6">
        <v>8</v>
      </c>
      <c r="D51" s="2" t="s">
        <v>39</v>
      </c>
      <c r="E51">
        <v>1010</v>
      </c>
      <c r="F51" s="2" t="s">
        <v>45</v>
      </c>
      <c r="G51">
        <v>1</v>
      </c>
      <c r="H51">
        <v>648</v>
      </c>
      <c r="I51">
        <f t="shared" si="0"/>
        <v>648</v>
      </c>
      <c r="J51" t="str" cm="1">
        <f t="array" ref="J51:M51">_xlfn.XLOOKUP(F51,Products!A:A,Products!B:E)</f>
        <v>Office</v>
      </c>
      <c r="K51">
        <v>1635</v>
      </c>
      <c r="L51">
        <v>136</v>
      </c>
      <c r="M51" s="6">
        <v>0.1</v>
      </c>
      <c r="N51" s="6">
        <f>Append1[[#This Row],[Revenue]]-(Finance_Data!B50+Finance_Data!C50+Finance_Data!D50)</f>
        <v>648</v>
      </c>
      <c r="O51" s="6">
        <f>Table10[[#Totals],[DeliveryDays]]</f>
        <v>4.8888888888888893</v>
      </c>
      <c r="P51" s="6">
        <f>Table10[[#Totals],[ReturnRate]]</f>
        <v>5.0555555555555527E-2</v>
      </c>
      <c r="Q51" s="6">
        <f t="shared" si="1"/>
        <v>0.19470217777991444</v>
      </c>
      <c r="R51" s="6">
        <f t="shared" si="2"/>
        <v>583.20000000000005</v>
      </c>
      <c r="S51" s="6">
        <f>I51-(G51*H51)-Finance_Data!B50</f>
        <v>0</v>
      </c>
      <c r="T51" s="6" t="str">
        <f>IF(I51&gt;50000,"VIP",IF(I51&lt;20000,"Low Value",IF(B51&gt;=20000-50000,"Regular")))</f>
        <v>Low Value</v>
      </c>
      <c r="U51" s="6">
        <f>INDEX('Full Data'!$K:$K,MATCH(F51,'Full Data'!$F:$F,0))</f>
        <v>1635</v>
      </c>
      <c r="V51" t="str">
        <f ca="1"/>
        <v>Office</v>
      </c>
    </row>
    <row r="52" spans="1:22" x14ac:dyDescent="0.3">
      <c r="A52" s="2" t="s">
        <v>86</v>
      </c>
      <c r="B52" s="3">
        <v>45816.867118055547</v>
      </c>
      <c r="C52" s="6">
        <v>7</v>
      </c>
      <c r="D52" s="2" t="s">
        <v>38</v>
      </c>
      <c r="E52">
        <v>1006</v>
      </c>
      <c r="F52" s="2" t="s">
        <v>44</v>
      </c>
      <c r="G52">
        <v>6</v>
      </c>
      <c r="H52">
        <v>634</v>
      </c>
      <c r="I52">
        <f t="shared" si="0"/>
        <v>3804</v>
      </c>
      <c r="J52" t="str" cm="1">
        <f t="array" ref="J52:M52">_xlfn.XLOOKUP(F52,Products!A:A,Products!B:E)</f>
        <v>Electronics</v>
      </c>
      <c r="K52">
        <v>1299</v>
      </c>
      <c r="L52">
        <v>469</v>
      </c>
      <c r="M52" s="6">
        <v>0.22</v>
      </c>
      <c r="N52" s="6">
        <f>Append1[[#This Row],[Revenue]]-(Finance_Data!B51+Finance_Data!C51+Finance_Data!D51)</f>
        <v>3804</v>
      </c>
      <c r="O52" s="6">
        <f>Table10[[#Totals],[DeliveryDays]]</f>
        <v>4.8888888888888893</v>
      </c>
      <c r="P52" s="6">
        <f>Table10[[#Totals],[ReturnRate]]</f>
        <v>5.0555555555555527E-2</v>
      </c>
      <c r="Q52" s="6">
        <f t="shared" si="1"/>
        <v>0.19470217777991444</v>
      </c>
      <c r="R52" s="6">
        <f t="shared" si="2"/>
        <v>2967.12</v>
      </c>
      <c r="S52" s="6">
        <f>I52-(G52*H52)-Finance_Data!B51</f>
        <v>0</v>
      </c>
      <c r="T52" s="6" t="str">
        <f>IF(I52&gt;50000,"VIP",IF(I52&lt;20000,"Low Value",IF(B52&gt;=20000-50000,"Regular")))</f>
        <v>Low Value</v>
      </c>
      <c r="U52" s="6">
        <f>INDEX('Full Data'!$K:$K,MATCH(F52,'Full Data'!$F:$F,0))</f>
        <v>1299</v>
      </c>
      <c r="V52" t="str">
        <f ca="1"/>
        <v>Electronics</v>
      </c>
    </row>
    <row r="53" spans="1:22" x14ac:dyDescent="0.3">
      <c r="A53" s="2" t="s">
        <v>85</v>
      </c>
      <c r="B53" s="3">
        <v>45835.860034722216</v>
      </c>
      <c r="C53" s="6">
        <v>7</v>
      </c>
      <c r="D53" s="2" t="s">
        <v>37</v>
      </c>
      <c r="E53">
        <v>1007</v>
      </c>
      <c r="F53" s="2" t="s">
        <v>44</v>
      </c>
      <c r="G53">
        <v>3</v>
      </c>
      <c r="H53">
        <v>119</v>
      </c>
      <c r="I53">
        <f t="shared" si="0"/>
        <v>357</v>
      </c>
      <c r="J53" t="str" cm="1">
        <f t="array" ref="J53:M53">_xlfn.XLOOKUP(F53,Products!A:A,Products!B:E)</f>
        <v>Electronics</v>
      </c>
      <c r="K53">
        <v>1299</v>
      </c>
      <c r="L53">
        <v>469</v>
      </c>
      <c r="M53" s="6">
        <v>0.22</v>
      </c>
      <c r="N53" s="6">
        <f>Append1[[#This Row],[Revenue]]-(Finance_Data!B52+Finance_Data!C52+Finance_Data!D52)</f>
        <v>357</v>
      </c>
      <c r="O53" s="6">
        <f>Table10[[#Totals],[DeliveryDays]]</f>
        <v>4.8888888888888893</v>
      </c>
      <c r="P53" s="6">
        <f>Table10[[#Totals],[ReturnRate]]</f>
        <v>5.0555555555555527E-2</v>
      </c>
      <c r="Q53" s="6">
        <f t="shared" si="1"/>
        <v>0.19470217777991444</v>
      </c>
      <c r="R53" s="6">
        <f t="shared" si="2"/>
        <v>278.46000000000004</v>
      </c>
      <c r="S53" s="6">
        <f>I53-(G53*H53)-Finance_Data!B52</f>
        <v>0</v>
      </c>
      <c r="T53" s="6" t="str">
        <f>IF(I53&gt;50000,"VIP",IF(I53&lt;20000,"Low Value",IF(B53&gt;=20000-50000,"Regular")))</f>
        <v>Low Value</v>
      </c>
      <c r="U53" s="6">
        <f>INDEX('Full Data'!$K:$K,MATCH(F53,'Full Data'!$F:$F,0))</f>
        <v>1299</v>
      </c>
      <c r="V53" t="str">
        <f ca="1"/>
        <v>Electronics</v>
      </c>
    </row>
    <row r="54" spans="1:22" x14ac:dyDescent="0.3">
      <c r="A54" s="2" t="s">
        <v>84</v>
      </c>
      <c r="B54" s="3">
        <v>45773.565625000003</v>
      </c>
      <c r="C54" s="6">
        <v>3</v>
      </c>
      <c r="D54" s="2" t="s">
        <v>37</v>
      </c>
      <c r="E54">
        <v>1007</v>
      </c>
      <c r="F54" s="2" t="s">
        <v>43</v>
      </c>
      <c r="G54">
        <v>6</v>
      </c>
      <c r="H54">
        <v>1219</v>
      </c>
      <c r="I54">
        <f t="shared" si="0"/>
        <v>7314</v>
      </c>
      <c r="J54" t="str" cm="1">
        <f t="array" ref="J54:M54">_xlfn.XLOOKUP(F54,Products!A:A,Products!B:E)</f>
        <v>Electronics</v>
      </c>
      <c r="K54">
        <v>1402</v>
      </c>
      <c r="L54">
        <v>97</v>
      </c>
      <c r="M54" s="6">
        <v>0.08</v>
      </c>
      <c r="N54" s="6">
        <f>Append1[[#This Row],[Revenue]]-(Finance_Data!B53+Finance_Data!C53+Finance_Data!D53)</f>
        <v>7314</v>
      </c>
      <c r="O54" s="6">
        <f>Table10[[#Totals],[DeliveryDays]]</f>
        <v>4.8888888888888893</v>
      </c>
      <c r="P54" s="6">
        <f>Table10[[#Totals],[ReturnRate]]</f>
        <v>5.0555555555555527E-2</v>
      </c>
      <c r="Q54" s="6">
        <f t="shared" si="1"/>
        <v>0.19470217777991444</v>
      </c>
      <c r="R54" s="6">
        <f t="shared" si="2"/>
        <v>6728.88</v>
      </c>
      <c r="S54" s="6">
        <f>I54-(G54*H54)-Finance_Data!B53</f>
        <v>0</v>
      </c>
      <c r="T54" s="6" t="str">
        <f>IF(I54&gt;50000,"VIP",IF(I54&lt;20000,"Low Value",IF(B54&gt;=20000-50000,"Regular")))</f>
        <v>Low Value</v>
      </c>
      <c r="U54" s="6">
        <f>INDEX('Full Data'!$K:$K,MATCH(F54,'Full Data'!$F:$F,0))</f>
        <v>1402</v>
      </c>
      <c r="V54" t="str">
        <f ca="1"/>
        <v>Electronics</v>
      </c>
    </row>
    <row r="55" spans="1:22" x14ac:dyDescent="0.3">
      <c r="A55" s="2" t="s">
        <v>83</v>
      </c>
      <c r="B55" s="3">
        <v>45790.724930555552</v>
      </c>
      <c r="C55" s="6">
        <v>5</v>
      </c>
      <c r="D55" s="2" t="s">
        <v>36</v>
      </c>
      <c r="E55">
        <v>1020</v>
      </c>
      <c r="F55" s="2" t="s">
        <v>45</v>
      </c>
      <c r="G55">
        <v>2</v>
      </c>
      <c r="H55">
        <v>1169</v>
      </c>
      <c r="I55">
        <f t="shared" si="0"/>
        <v>2338</v>
      </c>
      <c r="J55" t="str" cm="1">
        <f t="array" ref="J55:M55">_xlfn.XLOOKUP(F55,Products!A:A,Products!B:E)</f>
        <v>Office</v>
      </c>
      <c r="K55">
        <v>1635</v>
      </c>
      <c r="L55">
        <v>136</v>
      </c>
      <c r="M55" s="6">
        <v>0.1</v>
      </c>
      <c r="N55" s="6">
        <f>Append1[[#This Row],[Revenue]]-(Finance_Data!B54+Finance_Data!C54+Finance_Data!D54)</f>
        <v>2338</v>
      </c>
      <c r="O55" s="6">
        <f>Table10[[#Totals],[DeliveryDays]]</f>
        <v>4.8888888888888893</v>
      </c>
      <c r="P55" s="6">
        <f>Table10[[#Totals],[ReturnRate]]</f>
        <v>5.0555555555555527E-2</v>
      </c>
      <c r="Q55" s="6">
        <f t="shared" si="1"/>
        <v>0.19470217777991444</v>
      </c>
      <c r="R55" s="6">
        <f t="shared" si="2"/>
        <v>2104.2000000000003</v>
      </c>
      <c r="S55" s="6">
        <f>I55-(G55*H55)-Finance_Data!B54</f>
        <v>0</v>
      </c>
      <c r="T55" s="6" t="str">
        <f>IF(I55&gt;50000,"VIP",IF(I55&lt;20000,"Low Value",IF(B55&gt;=20000-50000,"Regular")))</f>
        <v>Low Value</v>
      </c>
      <c r="U55" s="6">
        <f>INDEX('Full Data'!$K:$K,MATCH(F55,'Full Data'!$F:$F,0))</f>
        <v>1635</v>
      </c>
      <c r="V55" t="str">
        <f ca="1"/>
        <v>Office</v>
      </c>
    </row>
    <row r="56" spans="1:22" x14ac:dyDescent="0.3">
      <c r="A56" s="2" t="s">
        <v>82</v>
      </c>
      <c r="B56" s="3">
        <v>45790.060497685183</v>
      </c>
      <c r="C56" s="6">
        <v>3</v>
      </c>
      <c r="D56" s="2" t="s">
        <v>37</v>
      </c>
      <c r="E56">
        <v>1019</v>
      </c>
      <c r="F56" s="2" t="s">
        <v>41</v>
      </c>
      <c r="G56">
        <v>4</v>
      </c>
      <c r="H56">
        <v>1964</v>
      </c>
      <c r="I56">
        <f t="shared" si="0"/>
        <v>7856</v>
      </c>
      <c r="J56" t="str" cm="1">
        <f t="array" ref="J56:M56">_xlfn.XLOOKUP(F56,Products!A:A,Products!B:E)</f>
        <v>Accessories</v>
      </c>
      <c r="K56">
        <v>106</v>
      </c>
      <c r="L56">
        <v>323</v>
      </c>
      <c r="M56" s="6">
        <v>0.1</v>
      </c>
      <c r="N56" s="6">
        <f>Append1[[#This Row],[Revenue]]-(Finance_Data!B55+Finance_Data!C55+Finance_Data!D55)</f>
        <v>7856</v>
      </c>
      <c r="O56" s="6">
        <f>Table10[[#Totals],[DeliveryDays]]</f>
        <v>4.8888888888888893</v>
      </c>
      <c r="P56" s="6">
        <f>Table10[[#Totals],[ReturnRate]]</f>
        <v>5.0555555555555527E-2</v>
      </c>
      <c r="Q56" s="6">
        <f t="shared" si="1"/>
        <v>0.19470217777991444</v>
      </c>
      <c r="R56" s="6">
        <f t="shared" si="2"/>
        <v>7070.4000000000005</v>
      </c>
      <c r="S56" s="6">
        <f>I56-(G56*H56)-Finance_Data!B55</f>
        <v>0</v>
      </c>
      <c r="T56" s="6" t="str">
        <f>IF(I56&gt;50000,"VIP",IF(I56&lt;20000,"Low Value",IF(B56&gt;=20000-50000,"Regular")))</f>
        <v>Low Value</v>
      </c>
      <c r="U56" s="6">
        <f>INDEX('Full Data'!$K:$K,MATCH(F56,'Full Data'!$F:$F,0))</f>
        <v>106</v>
      </c>
      <c r="V56" t="str">
        <f ca="1"/>
        <v>Accessories</v>
      </c>
    </row>
    <row r="57" spans="1:22" x14ac:dyDescent="0.3">
      <c r="A57" s="2" t="s">
        <v>81</v>
      </c>
      <c r="B57" s="3">
        <v>45797.920590277783</v>
      </c>
      <c r="C57" s="6">
        <v>8</v>
      </c>
      <c r="D57" s="2" t="s">
        <v>37</v>
      </c>
      <c r="E57">
        <v>1002</v>
      </c>
      <c r="F57" s="2" t="s">
        <v>40</v>
      </c>
      <c r="G57">
        <v>4</v>
      </c>
      <c r="H57">
        <v>1929</v>
      </c>
      <c r="I57">
        <f t="shared" si="0"/>
        <v>7716</v>
      </c>
      <c r="J57" t="str" cm="1">
        <f t="array" ref="J57:M57">_xlfn.XLOOKUP(F57,Products!A:A,Products!B:E)</f>
        <v>Electronics</v>
      </c>
      <c r="K57">
        <v>1613</v>
      </c>
      <c r="L57">
        <v>492</v>
      </c>
      <c r="M57" s="6">
        <v>0.14000000000000001</v>
      </c>
      <c r="N57" s="6">
        <f>Append1[[#This Row],[Revenue]]-(Finance_Data!B56+Finance_Data!C56+Finance_Data!D56)</f>
        <v>7716</v>
      </c>
      <c r="O57" s="6">
        <f>Table10[[#Totals],[DeliveryDays]]</f>
        <v>4.8888888888888893</v>
      </c>
      <c r="P57" s="6">
        <f>Table10[[#Totals],[ReturnRate]]</f>
        <v>5.0555555555555527E-2</v>
      </c>
      <c r="Q57" s="6">
        <f t="shared" si="1"/>
        <v>0.19470217777991444</v>
      </c>
      <c r="R57" s="6">
        <f t="shared" si="2"/>
        <v>6635.76</v>
      </c>
      <c r="S57" s="6">
        <f>I57-(G57*H57)-Finance_Data!B56</f>
        <v>0</v>
      </c>
      <c r="T57" s="6" t="str">
        <f>IF(I57&gt;50000,"VIP",IF(I57&lt;20000,"Low Value",IF(B57&gt;=20000-50000,"Regular")))</f>
        <v>Low Value</v>
      </c>
      <c r="U57" s="6">
        <f>INDEX('Full Data'!$K:$K,MATCH(F57,'Full Data'!$F:$F,0))</f>
        <v>1613</v>
      </c>
      <c r="V57" t="str">
        <f ca="1"/>
        <v>Electronics</v>
      </c>
    </row>
    <row r="58" spans="1:22" x14ac:dyDescent="0.3">
      <c r="A58" s="2" t="s">
        <v>80</v>
      </c>
      <c r="B58" s="3">
        <v>45756.893043981479</v>
      </c>
      <c r="C58" s="6">
        <v>2</v>
      </c>
      <c r="D58" s="2" t="s">
        <v>38</v>
      </c>
      <c r="E58">
        <v>1005</v>
      </c>
      <c r="F58" s="2" t="s">
        <v>45</v>
      </c>
      <c r="G58">
        <v>2</v>
      </c>
      <c r="H58">
        <v>109</v>
      </c>
      <c r="I58">
        <f t="shared" si="0"/>
        <v>218</v>
      </c>
      <c r="J58" t="str" cm="1">
        <f t="array" ref="J58:M58">_xlfn.XLOOKUP(F58,Products!A:A,Products!B:E)</f>
        <v>Office</v>
      </c>
      <c r="K58">
        <v>1635</v>
      </c>
      <c r="L58">
        <v>136</v>
      </c>
      <c r="M58" s="6">
        <v>0.1</v>
      </c>
      <c r="N58" s="6">
        <f>Append1[[#This Row],[Revenue]]-(Finance_Data!B57+Finance_Data!C57+Finance_Data!D57)</f>
        <v>218</v>
      </c>
      <c r="O58" s="6">
        <f>Table10[[#Totals],[DeliveryDays]]</f>
        <v>4.8888888888888893</v>
      </c>
      <c r="P58" s="6">
        <f>Table10[[#Totals],[ReturnRate]]</f>
        <v>5.0555555555555527E-2</v>
      </c>
      <c r="Q58" s="6">
        <f t="shared" si="1"/>
        <v>0.19470217777991444</v>
      </c>
      <c r="R58" s="6">
        <f t="shared" si="2"/>
        <v>196.20000000000002</v>
      </c>
      <c r="S58" s="6">
        <f>I58-(G58*H58)-Finance_Data!B57</f>
        <v>0</v>
      </c>
      <c r="T58" s="6" t="str">
        <f>IF(I58&gt;50000,"VIP",IF(I58&lt;20000,"Low Value",IF(B58&gt;=20000-50000,"Regular")))</f>
        <v>Low Value</v>
      </c>
      <c r="U58" s="6">
        <f>INDEX('Full Data'!$K:$K,MATCH(F58,'Full Data'!$F:$F,0))</f>
        <v>1635</v>
      </c>
      <c r="V58" t="str">
        <f ca="1"/>
        <v>Office</v>
      </c>
    </row>
    <row r="59" spans="1:22" x14ac:dyDescent="0.3">
      <c r="A59" s="2" t="s">
        <v>79</v>
      </c>
      <c r="B59" s="3">
        <v>45782.080439814818</v>
      </c>
      <c r="C59" s="6">
        <v>7</v>
      </c>
      <c r="D59" s="2" t="s">
        <v>39</v>
      </c>
      <c r="E59">
        <v>1009</v>
      </c>
      <c r="F59" s="2" t="s">
        <v>43</v>
      </c>
      <c r="G59">
        <v>9</v>
      </c>
      <c r="H59">
        <v>249</v>
      </c>
      <c r="I59">
        <f t="shared" si="0"/>
        <v>2241</v>
      </c>
      <c r="J59" t="str" cm="1">
        <f t="array" ref="J59:M59">_xlfn.XLOOKUP(F59,Products!A:A,Products!B:E)</f>
        <v>Electronics</v>
      </c>
      <c r="K59">
        <v>1402</v>
      </c>
      <c r="L59">
        <v>97</v>
      </c>
      <c r="M59" s="6">
        <v>0.08</v>
      </c>
      <c r="N59" s="6">
        <f>Append1[[#This Row],[Revenue]]-(Finance_Data!B58+Finance_Data!C58+Finance_Data!D58)</f>
        <v>2241</v>
      </c>
      <c r="O59" s="6">
        <f>Table10[[#Totals],[DeliveryDays]]</f>
        <v>4.8888888888888893</v>
      </c>
      <c r="P59" s="6">
        <f>Table10[[#Totals],[ReturnRate]]</f>
        <v>5.0555555555555527E-2</v>
      </c>
      <c r="Q59" s="6">
        <f t="shared" si="1"/>
        <v>0.19470217777991444</v>
      </c>
      <c r="R59" s="6">
        <f t="shared" si="2"/>
        <v>2061.7200000000003</v>
      </c>
      <c r="S59" s="6">
        <f>I59-(G59*H59)-Finance_Data!B58</f>
        <v>0</v>
      </c>
      <c r="T59" s="6" t="str">
        <f>IF(I59&gt;50000,"VIP",IF(I59&lt;20000,"Low Value",IF(B59&gt;=20000-50000,"Regular")))</f>
        <v>Low Value</v>
      </c>
      <c r="U59" s="6">
        <f>INDEX('Full Data'!$K:$K,MATCH(F59,'Full Data'!$F:$F,0))</f>
        <v>1402</v>
      </c>
      <c r="V59" t="str">
        <f ca="1"/>
        <v>Electronics</v>
      </c>
    </row>
    <row r="60" spans="1:22" x14ac:dyDescent="0.3">
      <c r="A60" s="2" t="s">
        <v>78</v>
      </c>
      <c r="B60" s="3">
        <v>45770.850115740737</v>
      </c>
      <c r="C60" s="6">
        <v>7</v>
      </c>
      <c r="D60" s="2" t="s">
        <v>38</v>
      </c>
      <c r="E60">
        <v>1018</v>
      </c>
      <c r="F60" s="2" t="s">
        <v>41</v>
      </c>
      <c r="G60">
        <v>7</v>
      </c>
      <c r="H60">
        <v>520</v>
      </c>
      <c r="I60">
        <f t="shared" si="0"/>
        <v>3640</v>
      </c>
      <c r="J60" t="str" cm="1">
        <f t="array" ref="J60:M60">_xlfn.XLOOKUP(F60,Products!A:A,Products!B:E)</f>
        <v>Accessories</v>
      </c>
      <c r="K60">
        <v>106</v>
      </c>
      <c r="L60">
        <v>323</v>
      </c>
      <c r="M60" s="6">
        <v>0.1</v>
      </c>
      <c r="N60" s="6">
        <f>Append1[[#This Row],[Revenue]]-(Finance_Data!B59+Finance_Data!C59+Finance_Data!D59)</f>
        <v>3640</v>
      </c>
      <c r="O60" s="6">
        <f>Table10[[#Totals],[DeliveryDays]]</f>
        <v>4.8888888888888893</v>
      </c>
      <c r="P60" s="6">
        <f>Table10[[#Totals],[ReturnRate]]</f>
        <v>5.0555555555555527E-2</v>
      </c>
      <c r="Q60" s="6">
        <f t="shared" si="1"/>
        <v>0.19470217777991444</v>
      </c>
      <c r="R60" s="6">
        <f t="shared" si="2"/>
        <v>3276</v>
      </c>
      <c r="S60" s="6">
        <f>I60-(G60*H60)-Finance_Data!B59</f>
        <v>0</v>
      </c>
      <c r="T60" s="6" t="str">
        <f>IF(I60&gt;50000,"VIP",IF(I60&lt;20000,"Low Value",IF(B60&gt;=20000-50000,"Regular")))</f>
        <v>Low Value</v>
      </c>
      <c r="U60" s="6">
        <f>INDEX('Full Data'!$K:$K,MATCH(F60,'Full Data'!$F:$F,0))</f>
        <v>106</v>
      </c>
      <c r="V60" t="str">
        <f ca="1"/>
        <v>Accessories</v>
      </c>
    </row>
    <row r="61" spans="1:22" x14ac:dyDescent="0.3">
      <c r="A61" s="2" t="s">
        <v>77</v>
      </c>
      <c r="B61" s="3">
        <v>45811.899641203701</v>
      </c>
      <c r="C61" s="6">
        <v>1</v>
      </c>
      <c r="D61" s="2" t="s">
        <v>36</v>
      </c>
      <c r="E61">
        <v>1007</v>
      </c>
      <c r="F61" s="2" t="s">
        <v>42</v>
      </c>
      <c r="G61">
        <v>9</v>
      </c>
      <c r="H61">
        <v>854</v>
      </c>
      <c r="I61">
        <f t="shared" si="0"/>
        <v>7686</v>
      </c>
      <c r="J61" t="str" cm="1">
        <f t="array" ref="J61:M61">_xlfn.XLOOKUP(F61,Products!A:A,Products!B:E)</f>
        <v>Electronics</v>
      </c>
      <c r="K61">
        <v>396</v>
      </c>
      <c r="L61">
        <v>463</v>
      </c>
      <c r="M61" s="6">
        <v>0.23</v>
      </c>
      <c r="N61" s="6">
        <f>Append1[[#This Row],[Revenue]]-(Finance_Data!B60+Finance_Data!C60+Finance_Data!D60)</f>
        <v>7686</v>
      </c>
      <c r="O61" s="6">
        <f>Table10[[#Totals],[DeliveryDays]]</f>
        <v>4.8888888888888893</v>
      </c>
      <c r="P61" s="6">
        <f>Table10[[#Totals],[ReturnRate]]</f>
        <v>5.0555555555555527E-2</v>
      </c>
      <c r="Q61" s="6">
        <f t="shared" si="1"/>
        <v>0.19470217777991444</v>
      </c>
      <c r="R61" s="6">
        <f t="shared" si="2"/>
        <v>5918.22</v>
      </c>
      <c r="S61" s="6">
        <f>I61-(G61*H61)-Finance_Data!B60</f>
        <v>0</v>
      </c>
      <c r="T61" s="6" t="str">
        <f>IF(I61&gt;50000,"VIP",IF(I61&lt;20000,"Low Value",IF(B61&gt;=20000-50000,"Regular")))</f>
        <v>Low Value</v>
      </c>
      <c r="U61" s="6">
        <f>INDEX('Full Data'!$K:$K,MATCH(F61,'Full Data'!$F:$F,0))</f>
        <v>396</v>
      </c>
      <c r="V61" t="str">
        <f ca="1"/>
        <v>Electronics</v>
      </c>
    </row>
    <row r="62" spans="1:22" x14ac:dyDescent="0.3">
      <c r="A62" s="2" t="s">
        <v>76</v>
      </c>
      <c r="B62" s="3">
        <v>45752.782893518517</v>
      </c>
      <c r="C62" s="6">
        <v>8</v>
      </c>
      <c r="D62" s="2" t="s">
        <v>38</v>
      </c>
      <c r="E62">
        <v>1006</v>
      </c>
      <c r="F62" s="2" t="s">
        <v>41</v>
      </c>
      <c r="G62">
        <v>2</v>
      </c>
      <c r="H62">
        <v>1035</v>
      </c>
      <c r="I62">
        <f t="shared" si="0"/>
        <v>2070</v>
      </c>
      <c r="J62" t="str" cm="1">
        <f t="array" ref="J62:M62">_xlfn.XLOOKUP(F62,Products!A:A,Products!B:E)</f>
        <v>Accessories</v>
      </c>
      <c r="K62">
        <v>106</v>
      </c>
      <c r="L62">
        <v>323</v>
      </c>
      <c r="M62" s="6">
        <v>0.1</v>
      </c>
      <c r="N62" s="6">
        <f>Append1[[#This Row],[Revenue]]-(Finance_Data!B61+Finance_Data!C61+Finance_Data!D61)</f>
        <v>2070</v>
      </c>
      <c r="O62" s="6">
        <f>Table10[[#Totals],[DeliveryDays]]</f>
        <v>4.8888888888888893</v>
      </c>
      <c r="P62" s="6">
        <f>Table10[[#Totals],[ReturnRate]]</f>
        <v>5.0555555555555527E-2</v>
      </c>
      <c r="Q62" s="6">
        <f t="shared" si="1"/>
        <v>0.19470217777991444</v>
      </c>
      <c r="R62" s="6">
        <f t="shared" si="2"/>
        <v>1863</v>
      </c>
      <c r="S62" s="6">
        <f>I62-(G62*H62)-Finance_Data!B61</f>
        <v>0</v>
      </c>
      <c r="T62" s="6" t="str">
        <f>IF(I62&gt;50000,"VIP",IF(I62&lt;20000,"Low Value",IF(B62&gt;=20000-50000,"Regular")))</f>
        <v>Low Value</v>
      </c>
      <c r="U62" s="6">
        <f>INDEX('Full Data'!$K:$K,MATCH(F62,'Full Data'!$F:$F,0))</f>
        <v>106</v>
      </c>
      <c r="V62" t="str">
        <f ca="1"/>
        <v>Accessories</v>
      </c>
    </row>
    <row r="63" spans="1:22" x14ac:dyDescent="0.3">
      <c r="A63" s="2" t="s">
        <v>75</v>
      </c>
      <c r="B63" s="3">
        <v>45839.827893518523</v>
      </c>
      <c r="C63" s="6">
        <v>3</v>
      </c>
      <c r="D63" s="2" t="s">
        <v>39</v>
      </c>
      <c r="E63">
        <v>1001</v>
      </c>
      <c r="F63" s="2" t="s">
        <v>42</v>
      </c>
      <c r="G63">
        <v>4</v>
      </c>
      <c r="H63">
        <v>160</v>
      </c>
      <c r="I63">
        <f t="shared" si="0"/>
        <v>640</v>
      </c>
      <c r="J63" t="str" cm="1">
        <f t="array" ref="J63:M63">_xlfn.XLOOKUP(F63,Products!A:A,Products!B:E)</f>
        <v>Electronics</v>
      </c>
      <c r="K63">
        <v>396</v>
      </c>
      <c r="L63">
        <v>463</v>
      </c>
      <c r="M63" s="6">
        <v>0.23</v>
      </c>
      <c r="N63" s="6">
        <f>Append1[[#This Row],[Revenue]]-(Finance_Data!B62+Finance_Data!C62+Finance_Data!D62)</f>
        <v>640</v>
      </c>
      <c r="O63" s="6">
        <f>Table10[[#Totals],[DeliveryDays]]</f>
        <v>4.8888888888888893</v>
      </c>
      <c r="P63" s="6">
        <f>Table10[[#Totals],[ReturnRate]]</f>
        <v>5.0555555555555527E-2</v>
      </c>
      <c r="Q63" s="6">
        <f t="shared" si="1"/>
        <v>0.19470217777991444</v>
      </c>
      <c r="R63" s="6">
        <f t="shared" si="2"/>
        <v>492.8</v>
      </c>
      <c r="S63" s="6">
        <f>I63-(G63*H63)-Finance_Data!B62</f>
        <v>0</v>
      </c>
      <c r="T63" s="6" t="str">
        <f>IF(I63&gt;50000,"VIP",IF(I63&lt;20000,"Low Value",IF(B63&gt;=20000-50000,"Regular")))</f>
        <v>Low Value</v>
      </c>
      <c r="U63" s="6">
        <f>INDEX('Full Data'!$K:$K,MATCH(F63,'Full Data'!$F:$F,0))</f>
        <v>396</v>
      </c>
      <c r="V63" t="str">
        <f ca="1"/>
        <v>Electronics</v>
      </c>
    </row>
    <row r="64" spans="1:22" x14ac:dyDescent="0.3">
      <c r="A64" s="2" t="s">
        <v>74</v>
      </c>
      <c r="B64" s="3">
        <v>45859.499537037038</v>
      </c>
      <c r="C64" s="6">
        <v>4</v>
      </c>
      <c r="D64" s="2" t="s">
        <v>36</v>
      </c>
      <c r="E64">
        <v>1001</v>
      </c>
      <c r="F64" s="2" t="s">
        <v>42</v>
      </c>
      <c r="G64">
        <v>1</v>
      </c>
      <c r="H64">
        <v>233</v>
      </c>
      <c r="I64">
        <f t="shared" si="0"/>
        <v>233</v>
      </c>
      <c r="J64" t="str" cm="1">
        <f t="array" ref="J64:M64">_xlfn.XLOOKUP(F64,Products!A:A,Products!B:E)</f>
        <v>Electronics</v>
      </c>
      <c r="K64">
        <v>396</v>
      </c>
      <c r="L64">
        <v>463</v>
      </c>
      <c r="M64" s="6">
        <v>0.23</v>
      </c>
      <c r="N64" s="6">
        <f>Append1[[#This Row],[Revenue]]-(Finance_Data!B63+Finance_Data!C63+Finance_Data!D63)</f>
        <v>233</v>
      </c>
      <c r="O64" s="6">
        <f>Table10[[#Totals],[DeliveryDays]]</f>
        <v>4.8888888888888893</v>
      </c>
      <c r="P64" s="6">
        <f>Table10[[#Totals],[ReturnRate]]</f>
        <v>5.0555555555555527E-2</v>
      </c>
      <c r="Q64" s="6">
        <f t="shared" si="1"/>
        <v>0.19470217777991444</v>
      </c>
      <c r="R64" s="6">
        <f t="shared" si="2"/>
        <v>179.41</v>
      </c>
      <c r="S64" s="6">
        <f>I64-(G64*H64)-Finance_Data!B63</f>
        <v>0</v>
      </c>
      <c r="T64" s="6" t="str">
        <f>IF(I64&gt;50000,"VIP",IF(I64&lt;20000,"Low Value",IF(B64&gt;=20000-50000,"Regular")))</f>
        <v>Low Value</v>
      </c>
      <c r="U64" s="6">
        <f>INDEX('Full Data'!$K:$K,MATCH(F64,'Full Data'!$F:$F,0))</f>
        <v>396</v>
      </c>
      <c r="V64" t="str">
        <f ca="1"/>
        <v>Electronics</v>
      </c>
    </row>
    <row r="65" spans="1:22" x14ac:dyDescent="0.3">
      <c r="A65" s="2" t="s">
        <v>73</v>
      </c>
      <c r="B65" s="3">
        <v>45894.505104166667</v>
      </c>
      <c r="C65" s="6">
        <v>6</v>
      </c>
      <c r="D65" s="2" t="s">
        <v>37</v>
      </c>
      <c r="E65">
        <v>1010</v>
      </c>
      <c r="F65" s="2" t="s">
        <v>43</v>
      </c>
      <c r="G65">
        <v>9</v>
      </c>
      <c r="H65">
        <v>312</v>
      </c>
      <c r="I65">
        <f t="shared" si="0"/>
        <v>2808</v>
      </c>
      <c r="J65" t="str" cm="1">
        <f t="array" ref="J65:M65">_xlfn.XLOOKUP(F65,Products!A:A,Products!B:E)</f>
        <v>Electronics</v>
      </c>
      <c r="K65">
        <v>1402</v>
      </c>
      <c r="L65">
        <v>97</v>
      </c>
      <c r="M65" s="6">
        <v>0.08</v>
      </c>
      <c r="N65" s="6">
        <f>Append1[[#This Row],[Revenue]]-(Finance_Data!B64+Finance_Data!C64+Finance_Data!D64)</f>
        <v>2808</v>
      </c>
      <c r="O65" s="6">
        <f>Table10[[#Totals],[DeliveryDays]]</f>
        <v>4.8888888888888893</v>
      </c>
      <c r="P65" s="6">
        <f>Table10[[#Totals],[ReturnRate]]</f>
        <v>5.0555555555555527E-2</v>
      </c>
      <c r="Q65" s="6">
        <f t="shared" si="1"/>
        <v>0.19470217777991444</v>
      </c>
      <c r="R65" s="6">
        <f t="shared" si="2"/>
        <v>2583.36</v>
      </c>
      <c r="S65" s="6">
        <f>I65-(G65*H65)-Finance_Data!B64</f>
        <v>0</v>
      </c>
      <c r="T65" s="6" t="str">
        <f>IF(I65&gt;50000,"VIP",IF(I65&lt;20000,"Low Value",IF(B65&gt;=20000-50000,"Regular")))</f>
        <v>Low Value</v>
      </c>
      <c r="U65" s="6">
        <f>INDEX('Full Data'!$K:$K,MATCH(F65,'Full Data'!$F:$F,0))</f>
        <v>1402</v>
      </c>
      <c r="V65" t="str">
        <f ca="1"/>
        <v>Electronics</v>
      </c>
    </row>
    <row r="66" spans="1:22" x14ac:dyDescent="0.3">
      <c r="A66" s="2" t="s">
        <v>72</v>
      </c>
      <c r="B66" s="3">
        <v>45844.2341087963</v>
      </c>
      <c r="C66" s="6">
        <v>5</v>
      </c>
      <c r="D66" s="2" t="s">
        <v>38</v>
      </c>
      <c r="E66">
        <v>1019</v>
      </c>
      <c r="F66" s="2" t="s">
        <v>44</v>
      </c>
      <c r="G66">
        <v>3</v>
      </c>
      <c r="H66">
        <v>603</v>
      </c>
      <c r="I66">
        <f t="shared" si="0"/>
        <v>1809</v>
      </c>
      <c r="J66" t="str" cm="1">
        <f t="array" ref="J66:M66">_xlfn.XLOOKUP(F66,Products!A:A,Products!B:E)</f>
        <v>Electronics</v>
      </c>
      <c r="K66">
        <v>1299</v>
      </c>
      <c r="L66">
        <v>469</v>
      </c>
      <c r="M66" s="6">
        <v>0.22</v>
      </c>
      <c r="N66" s="6">
        <f>Append1[[#This Row],[Revenue]]-(Finance_Data!B65+Finance_Data!C65+Finance_Data!D65)</f>
        <v>1809</v>
      </c>
      <c r="O66" s="6">
        <f>Table10[[#Totals],[DeliveryDays]]</f>
        <v>4.8888888888888893</v>
      </c>
      <c r="P66" s="6">
        <f>Table10[[#Totals],[ReturnRate]]</f>
        <v>5.0555555555555527E-2</v>
      </c>
      <c r="Q66" s="6">
        <f t="shared" si="1"/>
        <v>0.19470217777991444</v>
      </c>
      <c r="R66" s="6">
        <f t="shared" si="2"/>
        <v>1411.02</v>
      </c>
      <c r="S66" s="6">
        <f>I66-(G66*H66)-Finance_Data!B65</f>
        <v>0</v>
      </c>
      <c r="T66" s="6" t="str">
        <f>IF(I66&gt;50000,"VIP",IF(I66&lt;20000,"Low Value",IF(B66&gt;=20000-50000,"Regular")))</f>
        <v>Low Value</v>
      </c>
      <c r="U66" s="6">
        <f>INDEX('Full Data'!$K:$K,MATCH(F66,'Full Data'!$F:$F,0))</f>
        <v>1299</v>
      </c>
      <c r="V66" t="str">
        <f ca="1"/>
        <v>Electronics</v>
      </c>
    </row>
    <row r="67" spans="1:22" x14ac:dyDescent="0.3">
      <c r="A67" s="2" t="s">
        <v>71</v>
      </c>
      <c r="B67" s="3">
        <v>45850.673425925917</v>
      </c>
      <c r="C67" s="6">
        <v>3</v>
      </c>
      <c r="D67" s="2" t="s">
        <v>36</v>
      </c>
      <c r="E67">
        <v>1006</v>
      </c>
      <c r="F67" s="2" t="s">
        <v>42</v>
      </c>
      <c r="G67">
        <v>8</v>
      </c>
      <c r="H67">
        <v>1987</v>
      </c>
      <c r="I67">
        <f t="shared" si="0"/>
        <v>15896</v>
      </c>
      <c r="J67" t="str" cm="1">
        <f t="array" ref="J67:M67">_xlfn.XLOOKUP(F67,Products!A:A,Products!B:E)</f>
        <v>Electronics</v>
      </c>
      <c r="K67">
        <v>396</v>
      </c>
      <c r="L67">
        <v>463</v>
      </c>
      <c r="M67" s="6">
        <v>0.23</v>
      </c>
      <c r="N67" s="6">
        <f>Append1[[#This Row],[Revenue]]-(Finance_Data!B66+Finance_Data!C66+Finance_Data!D66)</f>
        <v>15896</v>
      </c>
      <c r="O67" s="6">
        <f>Table10[[#Totals],[DeliveryDays]]</f>
        <v>4.8888888888888893</v>
      </c>
      <c r="P67" s="6">
        <f>Table10[[#Totals],[ReturnRate]]</f>
        <v>5.0555555555555527E-2</v>
      </c>
      <c r="Q67" s="6">
        <f t="shared" si="1"/>
        <v>0.19470217777991444</v>
      </c>
      <c r="R67" s="6">
        <f t="shared" si="2"/>
        <v>12239.92</v>
      </c>
      <c r="S67" s="6">
        <f>I67-(G67*H67)-Finance_Data!B66</f>
        <v>0</v>
      </c>
      <c r="T67" s="6" t="str">
        <f>IF(I67&gt;50000,"VIP",IF(I67&lt;20000,"Low Value",IF(B67&gt;=20000-50000,"Regular")))</f>
        <v>Low Value</v>
      </c>
      <c r="U67" s="6">
        <f>INDEX('Full Data'!$K:$K,MATCH(F67,'Full Data'!$F:$F,0))</f>
        <v>396</v>
      </c>
      <c r="V67" t="str">
        <f ca="1"/>
        <v>Electronics</v>
      </c>
    </row>
    <row r="68" spans="1:22" x14ac:dyDescent="0.3">
      <c r="A68" s="2" t="s">
        <v>70</v>
      </c>
      <c r="B68" s="3">
        <v>45891.79111111111</v>
      </c>
      <c r="C68" s="6">
        <v>5</v>
      </c>
      <c r="D68" s="2" t="s">
        <v>39</v>
      </c>
      <c r="E68">
        <v>1008</v>
      </c>
      <c r="F68" s="2" t="s">
        <v>44</v>
      </c>
      <c r="G68">
        <v>3</v>
      </c>
      <c r="H68">
        <v>589</v>
      </c>
      <c r="I68">
        <f t="shared" ref="I68:I92" si="3">G68*H68</f>
        <v>1767</v>
      </c>
      <c r="J68" t="str" cm="1">
        <f t="array" ref="J68:M68">_xlfn.XLOOKUP(F68,Products!A:A,Products!B:E)</f>
        <v>Electronics</v>
      </c>
      <c r="K68">
        <v>1299</v>
      </c>
      <c r="L68">
        <v>469</v>
      </c>
      <c r="M68" s="6">
        <v>0.22</v>
      </c>
      <c r="N68" s="6">
        <f>Append1[[#This Row],[Revenue]]-(Finance_Data!B67+Finance_Data!C67+Finance_Data!D67)</f>
        <v>1767</v>
      </c>
      <c r="O68" s="6">
        <f>Table10[[#Totals],[DeliveryDays]]</f>
        <v>4.8888888888888893</v>
      </c>
      <c r="P68" s="6">
        <f>Table10[[#Totals],[ReturnRate]]</f>
        <v>5.0555555555555527E-2</v>
      </c>
      <c r="Q68" s="6">
        <f t="shared" ref="Q68:Q92" si="4">1/(O68*(1+P68))</f>
        <v>0.19470217777991444</v>
      </c>
      <c r="R68" s="6">
        <f t="shared" ref="R68:R92" si="5">I68*(1-M68)</f>
        <v>1378.26</v>
      </c>
      <c r="S68" s="6">
        <f>I68-(G68*H68)-Finance_Data!B67</f>
        <v>0</v>
      </c>
      <c r="T68" s="6" t="str">
        <f>IF(I68&gt;50000,"VIP",IF(I68&lt;20000,"Low Value",IF(B68&gt;=20000-50000,"Regular")))</f>
        <v>Low Value</v>
      </c>
      <c r="U68" s="6">
        <f>INDEX('Full Data'!$K:$K,MATCH(F68,'Full Data'!$F:$F,0))</f>
        <v>1299</v>
      </c>
      <c r="V68" t="str">
        <f ca="1"/>
        <v>Electronics</v>
      </c>
    </row>
    <row r="69" spans="1:22" x14ac:dyDescent="0.3">
      <c r="A69" s="2" t="s">
        <v>69</v>
      </c>
      <c r="B69" s="3">
        <v>45886.32172453704</v>
      </c>
      <c r="C69" s="6">
        <v>4</v>
      </c>
      <c r="D69" s="2" t="s">
        <v>38</v>
      </c>
      <c r="E69">
        <v>1006</v>
      </c>
      <c r="F69" s="2" t="s">
        <v>41</v>
      </c>
      <c r="G69">
        <v>2</v>
      </c>
      <c r="H69">
        <v>1742</v>
      </c>
      <c r="I69">
        <f t="shared" si="3"/>
        <v>3484</v>
      </c>
      <c r="J69" t="str" cm="1">
        <f t="array" ref="J69:M69">_xlfn.XLOOKUP(F69,Products!A:A,Products!B:E)</f>
        <v>Accessories</v>
      </c>
      <c r="K69">
        <v>106</v>
      </c>
      <c r="L69">
        <v>323</v>
      </c>
      <c r="M69" s="6">
        <v>0.1</v>
      </c>
      <c r="N69" s="6">
        <f>Append1[[#This Row],[Revenue]]-(Finance_Data!B68+Finance_Data!C68+Finance_Data!D68)</f>
        <v>3484</v>
      </c>
      <c r="O69" s="6">
        <f>Table10[[#Totals],[DeliveryDays]]</f>
        <v>4.8888888888888893</v>
      </c>
      <c r="P69" s="6">
        <f>Table10[[#Totals],[ReturnRate]]</f>
        <v>5.0555555555555527E-2</v>
      </c>
      <c r="Q69" s="6">
        <f t="shared" si="4"/>
        <v>0.19470217777991444</v>
      </c>
      <c r="R69" s="6">
        <f t="shared" si="5"/>
        <v>3135.6</v>
      </c>
      <c r="S69" s="6">
        <f>I69-(G69*H69)-Finance_Data!B68</f>
        <v>0</v>
      </c>
      <c r="T69" s="6" t="str">
        <f>IF(I69&gt;50000,"VIP",IF(I69&lt;20000,"Low Value",IF(B69&gt;=20000-50000,"Regular")))</f>
        <v>Low Value</v>
      </c>
      <c r="U69" s="6">
        <f>INDEX('Full Data'!$K:$K,MATCH(F69,'Full Data'!$F:$F,0))</f>
        <v>106</v>
      </c>
      <c r="V69" t="str">
        <f ca="1"/>
        <v>Accessories</v>
      </c>
    </row>
    <row r="70" spans="1:22" x14ac:dyDescent="0.3">
      <c r="A70" s="2" t="s">
        <v>68</v>
      </c>
      <c r="B70" s="3">
        <v>45857.334780092591</v>
      </c>
      <c r="C70" s="6">
        <v>8</v>
      </c>
      <c r="D70" s="2" t="s">
        <v>36</v>
      </c>
      <c r="E70">
        <v>1015</v>
      </c>
      <c r="F70" s="2" t="s">
        <v>43</v>
      </c>
      <c r="G70">
        <v>4</v>
      </c>
      <c r="H70">
        <v>1461</v>
      </c>
      <c r="I70">
        <f t="shared" si="3"/>
        <v>5844</v>
      </c>
      <c r="J70" t="str" cm="1">
        <f t="array" ref="J70:M70">_xlfn.XLOOKUP(F70,Products!A:A,Products!B:E)</f>
        <v>Electronics</v>
      </c>
      <c r="K70">
        <v>1402</v>
      </c>
      <c r="L70">
        <v>97</v>
      </c>
      <c r="M70" s="6">
        <v>0.08</v>
      </c>
      <c r="N70" s="6">
        <f>Append1[[#This Row],[Revenue]]-(Finance_Data!B69+Finance_Data!C69+Finance_Data!D69)</f>
        <v>5844</v>
      </c>
      <c r="O70" s="6">
        <f>Table10[[#Totals],[DeliveryDays]]</f>
        <v>4.8888888888888893</v>
      </c>
      <c r="P70" s="6">
        <f>Table10[[#Totals],[ReturnRate]]</f>
        <v>5.0555555555555527E-2</v>
      </c>
      <c r="Q70" s="6">
        <f t="shared" si="4"/>
        <v>0.19470217777991444</v>
      </c>
      <c r="R70" s="6">
        <f t="shared" si="5"/>
        <v>5376.4800000000005</v>
      </c>
      <c r="S70" s="6">
        <f>I70-(G70*H70)-Finance_Data!B69</f>
        <v>0</v>
      </c>
      <c r="T70" s="6" t="str">
        <f>IF(I70&gt;50000,"VIP",IF(I70&lt;20000,"Low Value",IF(B70&gt;=20000-50000,"Regular")))</f>
        <v>Low Value</v>
      </c>
      <c r="U70" s="6">
        <f>INDEX('Full Data'!$K:$K,MATCH(F70,'Full Data'!$F:$F,0))</f>
        <v>1402</v>
      </c>
      <c r="V70" t="str">
        <f ca="1"/>
        <v>Electronics</v>
      </c>
    </row>
    <row r="71" spans="1:22" x14ac:dyDescent="0.3">
      <c r="A71" s="2" t="s">
        <v>67</v>
      </c>
      <c r="B71" s="3">
        <v>45914.314293981479</v>
      </c>
      <c r="C71" s="6">
        <v>1</v>
      </c>
      <c r="D71" s="2" t="s">
        <v>36</v>
      </c>
      <c r="E71">
        <v>1002</v>
      </c>
      <c r="F71" s="2" t="s">
        <v>44</v>
      </c>
      <c r="G71">
        <v>3</v>
      </c>
      <c r="H71">
        <v>1133</v>
      </c>
      <c r="I71">
        <f t="shared" si="3"/>
        <v>3399</v>
      </c>
      <c r="J71" t="str" cm="1">
        <f t="array" ref="J71:M71">_xlfn.XLOOKUP(F71,Products!A:A,Products!B:E)</f>
        <v>Electronics</v>
      </c>
      <c r="K71">
        <v>1299</v>
      </c>
      <c r="L71">
        <v>469</v>
      </c>
      <c r="M71" s="6">
        <v>0.22</v>
      </c>
      <c r="N71" s="6">
        <f>Append1[[#This Row],[Revenue]]-(Finance_Data!B70+Finance_Data!C70+Finance_Data!D70)</f>
        <v>3399</v>
      </c>
      <c r="O71" s="6">
        <f>Table10[[#Totals],[DeliveryDays]]</f>
        <v>4.8888888888888893</v>
      </c>
      <c r="P71" s="6">
        <f>Table10[[#Totals],[ReturnRate]]</f>
        <v>5.0555555555555527E-2</v>
      </c>
      <c r="Q71" s="6">
        <f t="shared" si="4"/>
        <v>0.19470217777991444</v>
      </c>
      <c r="R71" s="6">
        <f t="shared" si="5"/>
        <v>2651.2200000000003</v>
      </c>
      <c r="S71" s="6">
        <f>I71-(G71*H71)-Finance_Data!B70</f>
        <v>0</v>
      </c>
      <c r="T71" s="6" t="str">
        <f>IF(I71&gt;50000,"VIP",IF(I71&lt;20000,"Low Value",IF(B71&gt;=20000-50000,"Regular")))</f>
        <v>Low Value</v>
      </c>
      <c r="U71" s="6">
        <f>INDEX('Full Data'!$K:$K,MATCH(F71,'Full Data'!$F:$F,0))</f>
        <v>1299</v>
      </c>
      <c r="V71" t="str">
        <f ca="1"/>
        <v>Electronics</v>
      </c>
    </row>
    <row r="72" spans="1:22" x14ac:dyDescent="0.3">
      <c r="A72" s="2" t="s">
        <v>66</v>
      </c>
      <c r="B72" s="3">
        <v>45926.581597222219</v>
      </c>
      <c r="C72" s="6">
        <v>1</v>
      </c>
      <c r="D72" s="2" t="s">
        <v>38</v>
      </c>
      <c r="E72">
        <v>1018</v>
      </c>
      <c r="F72" s="2" t="s">
        <v>42</v>
      </c>
      <c r="G72">
        <v>5</v>
      </c>
      <c r="H72">
        <v>644</v>
      </c>
      <c r="I72">
        <f t="shared" si="3"/>
        <v>3220</v>
      </c>
      <c r="J72" t="str" cm="1">
        <f t="array" ref="J72:M72">_xlfn.XLOOKUP(F72,Products!A:A,Products!B:E)</f>
        <v>Electronics</v>
      </c>
      <c r="K72">
        <v>396</v>
      </c>
      <c r="L72">
        <v>463</v>
      </c>
      <c r="M72" s="6">
        <v>0.23</v>
      </c>
      <c r="N72" s="6">
        <f>Append1[[#This Row],[Revenue]]-(Finance_Data!B71+Finance_Data!C71+Finance_Data!D71)</f>
        <v>3220</v>
      </c>
      <c r="O72" s="6">
        <f>Table10[[#Totals],[DeliveryDays]]</f>
        <v>4.8888888888888893</v>
      </c>
      <c r="P72" s="6">
        <f>Table10[[#Totals],[ReturnRate]]</f>
        <v>5.0555555555555527E-2</v>
      </c>
      <c r="Q72" s="6">
        <f t="shared" si="4"/>
        <v>0.19470217777991444</v>
      </c>
      <c r="R72" s="6">
        <f t="shared" si="5"/>
        <v>2479.4</v>
      </c>
      <c r="S72" s="6">
        <f>I72-(G72*H72)-Finance_Data!B71</f>
        <v>0</v>
      </c>
      <c r="T72" s="6" t="str">
        <f>IF(I72&gt;50000,"VIP",IF(I72&lt;20000,"Low Value",IF(B72&gt;=20000-50000,"Regular")))</f>
        <v>Low Value</v>
      </c>
      <c r="U72" s="6">
        <f>INDEX('Full Data'!$K:$K,MATCH(F72,'Full Data'!$F:$F,0))</f>
        <v>396</v>
      </c>
      <c r="V72" t="str">
        <f ca="1"/>
        <v>Electronics</v>
      </c>
    </row>
    <row r="73" spans="1:22" x14ac:dyDescent="0.3">
      <c r="A73" s="2" t="s">
        <v>65</v>
      </c>
      <c r="B73" s="3">
        <v>45897.155312499999</v>
      </c>
      <c r="C73" s="6">
        <v>6</v>
      </c>
      <c r="D73" s="2" t="s">
        <v>39</v>
      </c>
      <c r="E73">
        <v>1002</v>
      </c>
      <c r="F73" s="2" t="s">
        <v>41</v>
      </c>
      <c r="G73">
        <v>2</v>
      </c>
      <c r="H73">
        <v>1265</v>
      </c>
      <c r="I73">
        <f t="shared" si="3"/>
        <v>2530</v>
      </c>
      <c r="J73" t="str" cm="1">
        <f t="array" ref="J73:M73">_xlfn.XLOOKUP(F73,Products!A:A,Products!B:E)</f>
        <v>Accessories</v>
      </c>
      <c r="K73">
        <v>106</v>
      </c>
      <c r="L73">
        <v>323</v>
      </c>
      <c r="M73" s="6">
        <v>0.1</v>
      </c>
      <c r="N73" s="6">
        <f>Append1[[#This Row],[Revenue]]-(Finance_Data!B72+Finance_Data!C72+Finance_Data!D72)</f>
        <v>2530</v>
      </c>
      <c r="O73" s="6">
        <f>Table10[[#Totals],[DeliveryDays]]</f>
        <v>4.8888888888888893</v>
      </c>
      <c r="P73" s="6">
        <f>Table10[[#Totals],[ReturnRate]]</f>
        <v>5.0555555555555527E-2</v>
      </c>
      <c r="Q73" s="6">
        <f t="shared" si="4"/>
        <v>0.19470217777991444</v>
      </c>
      <c r="R73" s="6">
        <f t="shared" si="5"/>
        <v>2277</v>
      </c>
      <c r="S73" s="6">
        <f>I73-(G73*H73)-Finance_Data!B72</f>
        <v>0</v>
      </c>
      <c r="T73" s="6" t="str">
        <f>IF(I73&gt;50000,"VIP",IF(I73&lt;20000,"Low Value",IF(B73&gt;=20000-50000,"Regular")))</f>
        <v>Low Value</v>
      </c>
      <c r="U73" s="6">
        <f>INDEX('Full Data'!$K:$K,MATCH(F73,'Full Data'!$F:$F,0))</f>
        <v>106</v>
      </c>
      <c r="V73" t="str">
        <f ca="1"/>
        <v>Accessories</v>
      </c>
    </row>
    <row r="74" spans="1:22" x14ac:dyDescent="0.3">
      <c r="A74" s="2" t="s">
        <v>64</v>
      </c>
      <c r="B74" s="3">
        <v>45868.096215277779</v>
      </c>
      <c r="C74" s="6">
        <v>7</v>
      </c>
      <c r="D74" s="2" t="s">
        <v>37</v>
      </c>
      <c r="E74">
        <v>1011</v>
      </c>
      <c r="F74" s="2" t="s">
        <v>40</v>
      </c>
      <c r="G74">
        <v>3</v>
      </c>
      <c r="H74">
        <v>1634</v>
      </c>
      <c r="I74">
        <f t="shared" si="3"/>
        <v>4902</v>
      </c>
      <c r="J74" t="str" cm="1">
        <f t="array" ref="J74:M74">_xlfn.XLOOKUP(F74,Products!A:A,Products!B:E)</f>
        <v>Electronics</v>
      </c>
      <c r="K74">
        <v>1613</v>
      </c>
      <c r="L74">
        <v>492</v>
      </c>
      <c r="M74" s="6">
        <v>0.14000000000000001</v>
      </c>
      <c r="N74" s="6">
        <f>Append1[[#This Row],[Revenue]]-(Finance_Data!B73+Finance_Data!C73+Finance_Data!D73)</f>
        <v>4902</v>
      </c>
      <c r="O74" s="6">
        <f>Table10[[#Totals],[DeliveryDays]]</f>
        <v>4.8888888888888893</v>
      </c>
      <c r="P74" s="6">
        <f>Table10[[#Totals],[ReturnRate]]</f>
        <v>5.0555555555555527E-2</v>
      </c>
      <c r="Q74" s="6">
        <f t="shared" si="4"/>
        <v>0.19470217777991444</v>
      </c>
      <c r="R74" s="6">
        <f t="shared" si="5"/>
        <v>4215.72</v>
      </c>
      <c r="S74" s="6">
        <f>I74-(G74*H74)-Finance_Data!B73</f>
        <v>0</v>
      </c>
      <c r="T74" s="6" t="str">
        <f>IF(I74&gt;50000,"VIP",IF(I74&lt;20000,"Low Value",IF(B74&gt;=20000-50000,"Regular")))</f>
        <v>Low Value</v>
      </c>
      <c r="U74" s="6">
        <f>INDEX('Full Data'!$K:$K,MATCH(F74,'Full Data'!$F:$F,0))</f>
        <v>1613</v>
      </c>
      <c r="V74" t="str">
        <f ca="1"/>
        <v>Electronics</v>
      </c>
    </row>
    <row r="75" spans="1:22" x14ac:dyDescent="0.3">
      <c r="A75" s="2" t="s">
        <v>63</v>
      </c>
      <c r="B75" s="3">
        <v>45916.957511574074</v>
      </c>
      <c r="C75" s="6">
        <v>7</v>
      </c>
      <c r="D75" s="2" t="s">
        <v>38</v>
      </c>
      <c r="E75">
        <v>1012</v>
      </c>
      <c r="F75" s="2" t="s">
        <v>45</v>
      </c>
      <c r="G75">
        <v>3</v>
      </c>
      <c r="H75">
        <v>144</v>
      </c>
      <c r="I75">
        <f t="shared" si="3"/>
        <v>432</v>
      </c>
      <c r="J75" t="str" cm="1">
        <f t="array" ref="J75:M75">_xlfn.XLOOKUP(F75,Products!A:A,Products!B:E)</f>
        <v>Office</v>
      </c>
      <c r="K75">
        <v>1635</v>
      </c>
      <c r="L75">
        <v>136</v>
      </c>
      <c r="M75" s="6">
        <v>0.1</v>
      </c>
      <c r="N75" s="6">
        <f>Append1[[#This Row],[Revenue]]-(Finance_Data!B74+Finance_Data!C74+Finance_Data!D74)</f>
        <v>432</v>
      </c>
      <c r="O75" s="6">
        <f>Table10[[#Totals],[DeliveryDays]]</f>
        <v>4.8888888888888893</v>
      </c>
      <c r="P75" s="6">
        <f>Table10[[#Totals],[ReturnRate]]</f>
        <v>5.0555555555555527E-2</v>
      </c>
      <c r="Q75" s="6">
        <f t="shared" si="4"/>
        <v>0.19470217777991444</v>
      </c>
      <c r="R75" s="6">
        <f t="shared" si="5"/>
        <v>388.8</v>
      </c>
      <c r="S75" s="6">
        <f>I75-(G75*H75)-Finance_Data!B74</f>
        <v>0</v>
      </c>
      <c r="T75" s="6" t="str">
        <f>IF(I75&gt;50000,"VIP",IF(I75&lt;20000,"Low Value",IF(B75&gt;=20000-50000,"Regular")))</f>
        <v>Low Value</v>
      </c>
      <c r="U75" s="6">
        <f>INDEX('Full Data'!$K:$K,MATCH(F75,'Full Data'!$F:$F,0))</f>
        <v>1635</v>
      </c>
      <c r="V75" t="str">
        <f ca="1"/>
        <v>Office</v>
      </c>
    </row>
    <row r="76" spans="1:22" x14ac:dyDescent="0.3">
      <c r="A76" s="2" t="s">
        <v>62</v>
      </c>
      <c r="B76" s="3">
        <v>45849.520115740743</v>
      </c>
      <c r="C76" s="6">
        <v>6</v>
      </c>
      <c r="D76" s="2" t="s">
        <v>37</v>
      </c>
      <c r="E76">
        <v>1005</v>
      </c>
      <c r="F76" s="2" t="s">
        <v>40</v>
      </c>
      <c r="G76">
        <v>8</v>
      </c>
      <c r="H76">
        <v>1707</v>
      </c>
      <c r="I76">
        <f t="shared" si="3"/>
        <v>13656</v>
      </c>
      <c r="J76" t="str" cm="1">
        <f t="array" ref="J76:M76">_xlfn.XLOOKUP(F76,Products!A:A,Products!B:E)</f>
        <v>Electronics</v>
      </c>
      <c r="K76">
        <v>1613</v>
      </c>
      <c r="L76">
        <v>492</v>
      </c>
      <c r="M76" s="6">
        <v>0.14000000000000001</v>
      </c>
      <c r="N76" s="6">
        <f>Append1[[#This Row],[Revenue]]-(Finance_Data!B75+Finance_Data!C75+Finance_Data!D75)</f>
        <v>13656</v>
      </c>
      <c r="O76" s="6">
        <f>Table10[[#Totals],[DeliveryDays]]</f>
        <v>4.8888888888888893</v>
      </c>
      <c r="P76" s="6">
        <f>Table10[[#Totals],[ReturnRate]]</f>
        <v>5.0555555555555527E-2</v>
      </c>
      <c r="Q76" s="6">
        <f t="shared" si="4"/>
        <v>0.19470217777991444</v>
      </c>
      <c r="R76" s="6">
        <f t="shared" si="5"/>
        <v>11744.16</v>
      </c>
      <c r="S76" s="6">
        <f>I76-(G76*H76)-Finance_Data!B75</f>
        <v>0</v>
      </c>
      <c r="T76" s="6" t="str">
        <f>IF(I76&gt;50000,"VIP",IF(I76&lt;20000,"Low Value",IF(B76&gt;=20000-50000,"Regular")))</f>
        <v>Low Value</v>
      </c>
      <c r="U76" s="6">
        <f>INDEX('Full Data'!$K:$K,MATCH(F76,'Full Data'!$F:$F,0))</f>
        <v>1613</v>
      </c>
      <c r="V76" t="str">
        <f ca="1"/>
        <v>Electronics</v>
      </c>
    </row>
    <row r="77" spans="1:22" x14ac:dyDescent="0.3">
      <c r="A77" s="2" t="s">
        <v>61</v>
      </c>
      <c r="B77" s="3">
        <v>45873.09915509259</v>
      </c>
      <c r="C77" s="6">
        <v>7</v>
      </c>
      <c r="D77" s="2" t="s">
        <v>39</v>
      </c>
      <c r="E77">
        <v>1004</v>
      </c>
      <c r="F77" s="2" t="s">
        <v>44</v>
      </c>
      <c r="G77">
        <v>4</v>
      </c>
      <c r="H77">
        <v>960</v>
      </c>
      <c r="I77">
        <f t="shared" si="3"/>
        <v>3840</v>
      </c>
      <c r="J77" t="str" cm="1">
        <f t="array" ref="J77:M77">_xlfn.XLOOKUP(F77,Products!A:A,Products!B:E)</f>
        <v>Electronics</v>
      </c>
      <c r="K77">
        <v>1299</v>
      </c>
      <c r="L77">
        <v>469</v>
      </c>
      <c r="M77" s="6">
        <v>0.22</v>
      </c>
      <c r="N77" s="6">
        <f>Append1[[#This Row],[Revenue]]-(Finance_Data!B76+Finance_Data!C76+Finance_Data!D76)</f>
        <v>3840</v>
      </c>
      <c r="O77" s="6">
        <f>Table10[[#Totals],[DeliveryDays]]</f>
        <v>4.8888888888888893</v>
      </c>
      <c r="P77" s="6">
        <f>Table10[[#Totals],[ReturnRate]]</f>
        <v>5.0555555555555527E-2</v>
      </c>
      <c r="Q77" s="6">
        <f t="shared" si="4"/>
        <v>0.19470217777991444</v>
      </c>
      <c r="R77" s="6">
        <f t="shared" si="5"/>
        <v>2995.2000000000003</v>
      </c>
      <c r="S77" s="6">
        <f>I77-(G77*H77)-Finance_Data!B76</f>
        <v>0</v>
      </c>
      <c r="T77" s="6" t="str">
        <f>IF(I77&gt;50000,"VIP",IF(I77&lt;20000,"Low Value",IF(B77&gt;=20000-50000,"Regular")))</f>
        <v>Low Value</v>
      </c>
      <c r="U77" s="6">
        <f>INDEX('Full Data'!$K:$K,MATCH(F77,'Full Data'!$F:$F,0))</f>
        <v>1299</v>
      </c>
      <c r="V77" t="str">
        <f ca="1"/>
        <v>Electronics</v>
      </c>
    </row>
    <row r="78" spans="1:22" x14ac:dyDescent="0.3">
      <c r="A78" s="2" t="s">
        <v>60</v>
      </c>
      <c r="B78" s="3">
        <v>45926.222662037027</v>
      </c>
      <c r="C78" s="6">
        <v>5</v>
      </c>
      <c r="D78" s="2" t="s">
        <v>37</v>
      </c>
      <c r="E78">
        <v>1017</v>
      </c>
      <c r="F78" s="2" t="s">
        <v>44</v>
      </c>
      <c r="G78">
        <v>5</v>
      </c>
      <c r="H78">
        <v>1416</v>
      </c>
      <c r="I78">
        <f t="shared" si="3"/>
        <v>7080</v>
      </c>
      <c r="J78" t="str" cm="1">
        <f t="array" ref="J78:M78">_xlfn.XLOOKUP(F78,Products!A:A,Products!B:E)</f>
        <v>Electronics</v>
      </c>
      <c r="K78">
        <v>1299</v>
      </c>
      <c r="L78">
        <v>469</v>
      </c>
      <c r="M78" s="6">
        <v>0.22</v>
      </c>
      <c r="N78" s="6">
        <f>Append1[[#This Row],[Revenue]]-(Finance_Data!B77+Finance_Data!C77+Finance_Data!D77)</f>
        <v>7080</v>
      </c>
      <c r="O78" s="6">
        <f>Table10[[#Totals],[DeliveryDays]]</f>
        <v>4.8888888888888893</v>
      </c>
      <c r="P78" s="6">
        <f>Table10[[#Totals],[ReturnRate]]</f>
        <v>5.0555555555555527E-2</v>
      </c>
      <c r="Q78" s="6">
        <f t="shared" si="4"/>
        <v>0.19470217777991444</v>
      </c>
      <c r="R78" s="6">
        <f t="shared" si="5"/>
        <v>5522.4000000000005</v>
      </c>
      <c r="S78" s="6">
        <f>I78-(G78*H78)-Finance_Data!B77</f>
        <v>0</v>
      </c>
      <c r="T78" s="6" t="str">
        <f>IF(I78&gt;50000,"VIP",IF(I78&lt;20000,"Low Value",IF(B78&gt;=20000-50000,"Regular")))</f>
        <v>Low Value</v>
      </c>
      <c r="U78" s="6">
        <f>INDEX('Full Data'!$K:$K,MATCH(F78,'Full Data'!$F:$F,0))</f>
        <v>1299</v>
      </c>
      <c r="V78" t="str">
        <f ca="1"/>
        <v>Electronics</v>
      </c>
    </row>
    <row r="79" spans="1:22" x14ac:dyDescent="0.3">
      <c r="A79" s="2" t="s">
        <v>59</v>
      </c>
      <c r="B79" s="3">
        <v>45906.44259259259</v>
      </c>
      <c r="C79" s="6">
        <v>8</v>
      </c>
      <c r="D79" s="2" t="s">
        <v>36</v>
      </c>
      <c r="E79">
        <v>1017</v>
      </c>
      <c r="F79" s="2" t="s">
        <v>45</v>
      </c>
      <c r="G79">
        <v>2</v>
      </c>
      <c r="H79">
        <v>300</v>
      </c>
      <c r="I79">
        <f t="shared" si="3"/>
        <v>600</v>
      </c>
      <c r="J79" t="str" cm="1">
        <f t="array" ref="J79:M79">_xlfn.XLOOKUP(F79,Products!A:A,Products!B:E)</f>
        <v>Office</v>
      </c>
      <c r="K79">
        <v>1635</v>
      </c>
      <c r="L79">
        <v>136</v>
      </c>
      <c r="M79" s="6">
        <v>0.1</v>
      </c>
      <c r="N79" s="6">
        <f>Append1[[#This Row],[Revenue]]-(Finance_Data!B78+Finance_Data!C78+Finance_Data!D78)</f>
        <v>600</v>
      </c>
      <c r="O79" s="6">
        <f>Table10[[#Totals],[DeliveryDays]]</f>
        <v>4.8888888888888893</v>
      </c>
      <c r="P79" s="6">
        <f>Table10[[#Totals],[ReturnRate]]</f>
        <v>5.0555555555555527E-2</v>
      </c>
      <c r="Q79" s="6">
        <f t="shared" si="4"/>
        <v>0.19470217777991444</v>
      </c>
      <c r="R79" s="6">
        <f t="shared" si="5"/>
        <v>540</v>
      </c>
      <c r="S79" s="6">
        <f>I79-(G79*H79)-Finance_Data!B78</f>
        <v>0</v>
      </c>
      <c r="T79" s="6" t="str">
        <f>IF(I79&gt;50000,"VIP",IF(I79&lt;20000,"Low Value",IF(B79&gt;=20000-50000,"Regular")))</f>
        <v>Low Value</v>
      </c>
      <c r="U79" s="6">
        <f>INDEX('Full Data'!$K:$K,MATCH(F79,'Full Data'!$F:$F,0))</f>
        <v>1635</v>
      </c>
      <c r="V79" t="str">
        <f ca="1"/>
        <v>Office</v>
      </c>
    </row>
    <row r="80" spans="1:22" x14ac:dyDescent="0.3">
      <c r="A80" s="2" t="s">
        <v>58</v>
      </c>
      <c r="B80" s="3">
        <v>45911.789861111109</v>
      </c>
      <c r="C80" s="6">
        <v>4</v>
      </c>
      <c r="D80" s="2" t="s">
        <v>37</v>
      </c>
      <c r="E80">
        <v>1001</v>
      </c>
      <c r="F80" s="2" t="s">
        <v>44</v>
      </c>
      <c r="G80">
        <v>7</v>
      </c>
      <c r="H80">
        <v>608</v>
      </c>
      <c r="I80">
        <f t="shared" si="3"/>
        <v>4256</v>
      </c>
      <c r="J80" t="str" cm="1">
        <f t="array" ref="J80:M80">_xlfn.XLOOKUP(F80,Products!A:A,Products!B:E)</f>
        <v>Electronics</v>
      </c>
      <c r="K80">
        <v>1299</v>
      </c>
      <c r="L80">
        <v>469</v>
      </c>
      <c r="M80" s="6">
        <v>0.22</v>
      </c>
      <c r="N80" s="6">
        <f>Append1[[#This Row],[Revenue]]-(Finance_Data!B79+Finance_Data!C79+Finance_Data!D79)</f>
        <v>4256</v>
      </c>
      <c r="O80" s="6">
        <f>Table10[[#Totals],[DeliveryDays]]</f>
        <v>4.8888888888888893</v>
      </c>
      <c r="P80" s="6">
        <f>Table10[[#Totals],[ReturnRate]]</f>
        <v>5.0555555555555527E-2</v>
      </c>
      <c r="Q80" s="6">
        <f t="shared" si="4"/>
        <v>0.19470217777991444</v>
      </c>
      <c r="R80" s="6">
        <f t="shared" si="5"/>
        <v>3319.6800000000003</v>
      </c>
      <c r="S80" s="6">
        <f>I80-(G80*H80)-Finance_Data!B79</f>
        <v>0</v>
      </c>
      <c r="T80" s="6" t="str">
        <f>IF(I80&gt;50000,"VIP",IF(I80&lt;20000,"Low Value",IF(B80&gt;=20000-50000,"Regular")))</f>
        <v>Low Value</v>
      </c>
      <c r="U80" s="6">
        <f>INDEX('Full Data'!$K:$K,MATCH(F80,'Full Data'!$F:$F,0))</f>
        <v>1299</v>
      </c>
      <c r="V80" t="str">
        <f ca="1"/>
        <v>Electronics</v>
      </c>
    </row>
    <row r="81" spans="1:22" x14ac:dyDescent="0.3">
      <c r="A81" s="2" t="s">
        <v>57</v>
      </c>
      <c r="B81" s="3">
        <v>45867.799027777779</v>
      </c>
      <c r="C81" s="6">
        <v>3</v>
      </c>
      <c r="D81" s="2" t="s">
        <v>37</v>
      </c>
      <c r="E81">
        <v>1017</v>
      </c>
      <c r="F81" s="2" t="s">
        <v>44</v>
      </c>
      <c r="G81">
        <v>8</v>
      </c>
      <c r="H81">
        <v>1150</v>
      </c>
      <c r="I81">
        <f t="shared" si="3"/>
        <v>9200</v>
      </c>
      <c r="J81" t="str" cm="1">
        <f t="array" ref="J81:M81">_xlfn.XLOOKUP(F81,Products!A:A,Products!B:E)</f>
        <v>Electronics</v>
      </c>
      <c r="K81">
        <v>1299</v>
      </c>
      <c r="L81">
        <v>469</v>
      </c>
      <c r="M81" s="6">
        <v>0.22</v>
      </c>
      <c r="N81" s="6">
        <f>Append1[[#This Row],[Revenue]]-(Finance_Data!B80+Finance_Data!C80+Finance_Data!D80)</f>
        <v>9200</v>
      </c>
      <c r="O81" s="6">
        <f>Table10[[#Totals],[DeliveryDays]]</f>
        <v>4.8888888888888893</v>
      </c>
      <c r="P81" s="6">
        <f>Table10[[#Totals],[ReturnRate]]</f>
        <v>5.0555555555555527E-2</v>
      </c>
      <c r="Q81" s="6">
        <f t="shared" si="4"/>
        <v>0.19470217777991444</v>
      </c>
      <c r="R81" s="6">
        <f t="shared" si="5"/>
        <v>7176</v>
      </c>
      <c r="S81" s="6">
        <f>I81-(G81*H81)-Finance_Data!B80</f>
        <v>0</v>
      </c>
      <c r="T81" s="6" t="str">
        <f>IF(I81&gt;50000,"VIP",IF(I81&lt;20000,"Low Value",IF(B81&gt;=20000-50000,"Regular")))</f>
        <v>Low Value</v>
      </c>
      <c r="U81" s="6">
        <f>INDEX('Full Data'!$K:$K,MATCH(F81,'Full Data'!$F:$F,0))</f>
        <v>1299</v>
      </c>
      <c r="V81" t="str">
        <f ca="1"/>
        <v>Electronics</v>
      </c>
    </row>
    <row r="82" spans="1:22" x14ac:dyDescent="0.3">
      <c r="A82" s="2" t="s">
        <v>56</v>
      </c>
      <c r="B82" s="3">
        <v>45880.701817129629</v>
      </c>
      <c r="C82" s="6">
        <v>4</v>
      </c>
      <c r="D82" s="2" t="s">
        <v>39</v>
      </c>
      <c r="E82">
        <v>1019</v>
      </c>
      <c r="F82" s="2" t="s">
        <v>40</v>
      </c>
      <c r="G82">
        <v>2</v>
      </c>
      <c r="H82">
        <v>508</v>
      </c>
      <c r="I82">
        <f t="shared" si="3"/>
        <v>1016</v>
      </c>
      <c r="J82" t="str" cm="1">
        <f t="array" ref="J82:M82">_xlfn.XLOOKUP(F82,Products!A:A,Products!B:E)</f>
        <v>Electronics</v>
      </c>
      <c r="K82">
        <v>1613</v>
      </c>
      <c r="L82">
        <v>492</v>
      </c>
      <c r="M82" s="6">
        <v>0.14000000000000001</v>
      </c>
      <c r="N82" s="6">
        <f>Append1[[#This Row],[Revenue]]-(Finance_Data!B81+Finance_Data!C81+Finance_Data!D81)</f>
        <v>1016</v>
      </c>
      <c r="O82" s="6">
        <f>Table10[[#Totals],[DeliveryDays]]</f>
        <v>4.8888888888888893</v>
      </c>
      <c r="P82" s="6">
        <f>Table10[[#Totals],[ReturnRate]]</f>
        <v>5.0555555555555527E-2</v>
      </c>
      <c r="Q82" s="6">
        <f t="shared" si="4"/>
        <v>0.19470217777991444</v>
      </c>
      <c r="R82" s="6">
        <f t="shared" si="5"/>
        <v>873.76</v>
      </c>
      <c r="S82" s="6">
        <f>I82-(G82*H82)-Finance_Data!B81</f>
        <v>0</v>
      </c>
      <c r="T82" s="6" t="str">
        <f>IF(I82&gt;50000,"VIP",IF(I82&lt;20000,"Low Value",IF(B82&gt;=20000-50000,"Regular")))</f>
        <v>Low Value</v>
      </c>
      <c r="U82" s="6">
        <f>INDEX('Full Data'!$K:$K,MATCH(F82,'Full Data'!$F:$F,0))</f>
        <v>1613</v>
      </c>
      <c r="V82" t="str">
        <f ca="1"/>
        <v>Electronics</v>
      </c>
    </row>
    <row r="83" spans="1:22" x14ac:dyDescent="0.3">
      <c r="A83" s="2" t="s">
        <v>55</v>
      </c>
      <c r="B83" s="3">
        <v>45926.246377314812</v>
      </c>
      <c r="C83" s="6">
        <v>9</v>
      </c>
      <c r="D83" s="2" t="s">
        <v>36</v>
      </c>
      <c r="E83">
        <v>1019</v>
      </c>
      <c r="F83" s="2" t="s">
        <v>40</v>
      </c>
      <c r="G83">
        <v>1</v>
      </c>
      <c r="H83">
        <v>1272</v>
      </c>
      <c r="I83">
        <f t="shared" si="3"/>
        <v>1272</v>
      </c>
      <c r="J83" t="str" cm="1">
        <f t="array" ref="J83:M83">_xlfn.XLOOKUP(F83,Products!A:A,Products!B:E)</f>
        <v>Electronics</v>
      </c>
      <c r="K83">
        <v>1613</v>
      </c>
      <c r="L83">
        <v>492</v>
      </c>
      <c r="M83" s="6">
        <v>0.14000000000000001</v>
      </c>
      <c r="N83" s="6">
        <f>Append1[[#This Row],[Revenue]]-(Finance_Data!B82+Finance_Data!C82+Finance_Data!D82)</f>
        <v>1272</v>
      </c>
      <c r="O83" s="6">
        <f>Table10[[#Totals],[DeliveryDays]]</f>
        <v>4.8888888888888893</v>
      </c>
      <c r="P83" s="6">
        <f>Table10[[#Totals],[ReturnRate]]</f>
        <v>5.0555555555555527E-2</v>
      </c>
      <c r="Q83" s="6">
        <f t="shared" si="4"/>
        <v>0.19470217777991444</v>
      </c>
      <c r="R83" s="6">
        <f t="shared" si="5"/>
        <v>1093.92</v>
      </c>
      <c r="S83" s="6">
        <f>I83-(G83*H83)-Finance_Data!B82</f>
        <v>0</v>
      </c>
      <c r="T83" s="6" t="str">
        <f>IF(I83&gt;50000,"VIP",IF(I83&lt;20000,"Low Value",IF(B83&gt;=20000-50000,"Regular")))</f>
        <v>Low Value</v>
      </c>
      <c r="U83" s="6">
        <f>INDEX('Full Data'!$K:$K,MATCH(F83,'Full Data'!$F:$F,0))</f>
        <v>1613</v>
      </c>
      <c r="V83" t="str">
        <f ca="1"/>
        <v>Electronics</v>
      </c>
    </row>
    <row r="84" spans="1:22" x14ac:dyDescent="0.3">
      <c r="A84" s="2" t="s">
        <v>54</v>
      </c>
      <c r="B84" s="3">
        <v>45841.351273148153</v>
      </c>
      <c r="C84" s="6">
        <v>8</v>
      </c>
      <c r="D84" s="2" t="s">
        <v>39</v>
      </c>
      <c r="E84">
        <v>1012</v>
      </c>
      <c r="F84" s="2" t="s">
        <v>42</v>
      </c>
      <c r="G84">
        <v>1</v>
      </c>
      <c r="H84">
        <v>1186</v>
      </c>
      <c r="I84">
        <f t="shared" si="3"/>
        <v>1186</v>
      </c>
      <c r="J84" t="str" cm="1">
        <f t="array" ref="J84:M84">_xlfn.XLOOKUP(F84,Products!A:A,Products!B:E)</f>
        <v>Electronics</v>
      </c>
      <c r="K84">
        <v>396</v>
      </c>
      <c r="L84">
        <v>463</v>
      </c>
      <c r="M84" s="6">
        <v>0.23</v>
      </c>
      <c r="N84" s="6">
        <f>Append1[[#This Row],[Revenue]]-(Finance_Data!B83+Finance_Data!C83+Finance_Data!D83)</f>
        <v>1186</v>
      </c>
      <c r="O84" s="6">
        <f>Table10[[#Totals],[DeliveryDays]]</f>
        <v>4.8888888888888893</v>
      </c>
      <c r="P84" s="6">
        <f>Table10[[#Totals],[ReturnRate]]</f>
        <v>5.0555555555555527E-2</v>
      </c>
      <c r="Q84" s="6">
        <f t="shared" si="4"/>
        <v>0.19470217777991444</v>
      </c>
      <c r="R84" s="6">
        <f t="shared" si="5"/>
        <v>913.22</v>
      </c>
      <c r="S84" s="6">
        <f>I84-(G84*H84)-Finance_Data!B83</f>
        <v>0</v>
      </c>
      <c r="T84" s="6" t="str">
        <f>IF(I84&gt;50000,"VIP",IF(I84&lt;20000,"Low Value",IF(B84&gt;=20000-50000,"Regular")))</f>
        <v>Low Value</v>
      </c>
      <c r="U84" s="6">
        <f>INDEX('Full Data'!$K:$K,MATCH(F84,'Full Data'!$F:$F,0))</f>
        <v>396</v>
      </c>
      <c r="V84" t="str">
        <f ca="1"/>
        <v>Electronics</v>
      </c>
    </row>
    <row r="85" spans="1:22" x14ac:dyDescent="0.3">
      <c r="A85" s="2" t="s">
        <v>53</v>
      </c>
      <c r="B85" s="3">
        <v>45874.122870370367</v>
      </c>
      <c r="C85" s="6">
        <v>2</v>
      </c>
      <c r="D85" s="2" t="s">
        <v>38</v>
      </c>
      <c r="E85">
        <v>1001</v>
      </c>
      <c r="F85" s="2" t="s">
        <v>44</v>
      </c>
      <c r="G85">
        <v>6</v>
      </c>
      <c r="H85">
        <v>272</v>
      </c>
      <c r="I85">
        <f t="shared" si="3"/>
        <v>1632</v>
      </c>
      <c r="J85" t="str" cm="1">
        <f t="array" ref="J85:M85">_xlfn.XLOOKUP(F85,Products!A:A,Products!B:E)</f>
        <v>Electronics</v>
      </c>
      <c r="K85">
        <v>1299</v>
      </c>
      <c r="L85">
        <v>469</v>
      </c>
      <c r="M85" s="6">
        <v>0.22</v>
      </c>
      <c r="N85" s="6">
        <f>Append1[[#This Row],[Revenue]]-(Finance_Data!B84+Finance_Data!C84+Finance_Data!D84)</f>
        <v>1632</v>
      </c>
      <c r="O85" s="6">
        <f>Table10[[#Totals],[DeliveryDays]]</f>
        <v>4.8888888888888893</v>
      </c>
      <c r="P85" s="6">
        <f>Table10[[#Totals],[ReturnRate]]</f>
        <v>5.0555555555555527E-2</v>
      </c>
      <c r="Q85" s="6">
        <f t="shared" si="4"/>
        <v>0.19470217777991444</v>
      </c>
      <c r="R85" s="6">
        <f t="shared" si="5"/>
        <v>1272.96</v>
      </c>
      <c r="S85" s="6">
        <f>I85-(G85*H85)-Finance_Data!B84</f>
        <v>0</v>
      </c>
      <c r="T85" s="6" t="str">
        <f>IF(I85&gt;50000,"VIP",IF(I85&lt;20000,"Low Value",IF(B85&gt;=20000-50000,"Regular")))</f>
        <v>Low Value</v>
      </c>
      <c r="U85" s="6">
        <f>INDEX('Full Data'!$K:$K,MATCH(F85,'Full Data'!$F:$F,0))</f>
        <v>1299</v>
      </c>
      <c r="V85" t="str">
        <f ca="1"/>
        <v>Electronics</v>
      </c>
    </row>
    <row r="86" spans="1:22" x14ac:dyDescent="0.3">
      <c r="A86" s="2" t="s">
        <v>52</v>
      </c>
      <c r="B86" s="3">
        <v>45875.450671296298</v>
      </c>
      <c r="C86" s="6">
        <v>6</v>
      </c>
      <c r="D86" s="2" t="s">
        <v>36</v>
      </c>
      <c r="E86">
        <v>1014</v>
      </c>
      <c r="F86" s="2" t="s">
        <v>41</v>
      </c>
      <c r="G86">
        <v>9</v>
      </c>
      <c r="H86">
        <v>1794</v>
      </c>
      <c r="I86">
        <f t="shared" si="3"/>
        <v>16146</v>
      </c>
      <c r="J86" t="str" cm="1">
        <f t="array" ref="J86:M86">_xlfn.XLOOKUP(F86,Products!A:A,Products!B:E)</f>
        <v>Accessories</v>
      </c>
      <c r="K86">
        <v>106</v>
      </c>
      <c r="L86">
        <v>323</v>
      </c>
      <c r="M86" s="6">
        <v>0.1</v>
      </c>
      <c r="N86" s="6">
        <f>Append1[[#This Row],[Revenue]]-(Finance_Data!B85+Finance_Data!C85+Finance_Data!D85)</f>
        <v>16146</v>
      </c>
      <c r="O86" s="6">
        <f>Table10[[#Totals],[DeliveryDays]]</f>
        <v>4.8888888888888893</v>
      </c>
      <c r="P86" s="6">
        <f>Table10[[#Totals],[ReturnRate]]</f>
        <v>5.0555555555555527E-2</v>
      </c>
      <c r="Q86" s="6">
        <f t="shared" si="4"/>
        <v>0.19470217777991444</v>
      </c>
      <c r="R86" s="6">
        <f t="shared" si="5"/>
        <v>14531.4</v>
      </c>
      <c r="S86" s="6">
        <f>I86-(G86*H86)-Finance_Data!B85</f>
        <v>0</v>
      </c>
      <c r="T86" s="6" t="str">
        <f>IF(I86&gt;50000,"VIP",IF(I86&lt;20000,"Low Value",IF(B86&gt;=20000-50000,"Regular")))</f>
        <v>Low Value</v>
      </c>
      <c r="U86" s="6">
        <f>INDEX('Full Data'!$K:$K,MATCH(F86,'Full Data'!$F:$F,0))</f>
        <v>106</v>
      </c>
      <c r="V86" t="str">
        <f ca="1"/>
        <v>Accessories</v>
      </c>
    </row>
    <row r="87" spans="1:22" x14ac:dyDescent="0.3">
      <c r="A87" s="2" t="s">
        <v>51</v>
      </c>
      <c r="B87" s="3">
        <v>45895.845381944448</v>
      </c>
      <c r="C87" s="6">
        <v>4</v>
      </c>
      <c r="D87" s="2" t="s">
        <v>36</v>
      </c>
      <c r="E87">
        <v>1006</v>
      </c>
      <c r="F87" s="2" t="s">
        <v>42</v>
      </c>
      <c r="G87">
        <v>5</v>
      </c>
      <c r="H87">
        <v>757</v>
      </c>
      <c r="I87">
        <f t="shared" si="3"/>
        <v>3785</v>
      </c>
      <c r="J87" t="str" cm="1">
        <f t="array" ref="J87:M87">_xlfn.XLOOKUP(F87,Products!A:A,Products!B:E)</f>
        <v>Electronics</v>
      </c>
      <c r="K87">
        <v>396</v>
      </c>
      <c r="L87">
        <v>463</v>
      </c>
      <c r="M87" s="6">
        <v>0.23</v>
      </c>
      <c r="N87" s="6">
        <f>Append1[[#This Row],[Revenue]]-(Finance_Data!B86+Finance_Data!C86+Finance_Data!D86)</f>
        <v>3785</v>
      </c>
      <c r="O87" s="6">
        <f>Table10[[#Totals],[DeliveryDays]]</f>
        <v>4.8888888888888893</v>
      </c>
      <c r="P87" s="6">
        <f>Table10[[#Totals],[ReturnRate]]</f>
        <v>5.0555555555555527E-2</v>
      </c>
      <c r="Q87" s="6">
        <f t="shared" si="4"/>
        <v>0.19470217777991444</v>
      </c>
      <c r="R87" s="6">
        <f t="shared" si="5"/>
        <v>2914.4500000000003</v>
      </c>
      <c r="S87" s="6">
        <f>I87-(G87*H87)-Finance_Data!B86</f>
        <v>0</v>
      </c>
      <c r="T87" s="6" t="str">
        <f>IF(I87&gt;50000,"VIP",IF(I87&lt;20000,"Low Value",IF(B87&gt;=20000-50000,"Regular")))</f>
        <v>Low Value</v>
      </c>
      <c r="U87" s="6">
        <f>INDEX('Full Data'!$K:$K,MATCH(F87,'Full Data'!$F:$F,0))</f>
        <v>396</v>
      </c>
      <c r="V87" t="str">
        <f ca="1"/>
        <v>Electronics</v>
      </c>
    </row>
    <row r="88" spans="1:22" x14ac:dyDescent="0.3">
      <c r="A88" s="2" t="s">
        <v>50</v>
      </c>
      <c r="B88" s="3">
        <v>45858.359560185178</v>
      </c>
      <c r="C88" s="6">
        <v>1</v>
      </c>
      <c r="D88" s="2" t="s">
        <v>37</v>
      </c>
      <c r="E88">
        <v>1017</v>
      </c>
      <c r="F88" s="2" t="s">
        <v>43</v>
      </c>
      <c r="G88">
        <v>9</v>
      </c>
      <c r="H88">
        <v>472</v>
      </c>
      <c r="I88">
        <f t="shared" si="3"/>
        <v>4248</v>
      </c>
      <c r="J88" t="str" cm="1">
        <f t="array" ref="J88:M88">_xlfn.XLOOKUP(F88,Products!A:A,Products!B:E)</f>
        <v>Electronics</v>
      </c>
      <c r="K88">
        <v>1402</v>
      </c>
      <c r="L88">
        <v>97</v>
      </c>
      <c r="M88" s="6">
        <v>0.08</v>
      </c>
      <c r="N88" s="6">
        <f>Append1[[#This Row],[Revenue]]-(Finance_Data!B87+Finance_Data!C87+Finance_Data!D87)</f>
        <v>4248</v>
      </c>
      <c r="O88" s="6">
        <f>Table10[[#Totals],[DeliveryDays]]</f>
        <v>4.8888888888888893</v>
      </c>
      <c r="P88" s="6">
        <f>Table10[[#Totals],[ReturnRate]]</f>
        <v>5.0555555555555527E-2</v>
      </c>
      <c r="Q88" s="6">
        <f t="shared" si="4"/>
        <v>0.19470217777991444</v>
      </c>
      <c r="R88" s="6">
        <f t="shared" si="5"/>
        <v>3908.1600000000003</v>
      </c>
      <c r="S88" s="6">
        <f>I88-(G88*H88)-Finance_Data!B87</f>
        <v>0</v>
      </c>
      <c r="T88" s="6" t="str">
        <f>IF(I88&gt;50000,"VIP",IF(I88&lt;20000,"Low Value",IF(B88&gt;=20000-50000,"Regular")))</f>
        <v>Low Value</v>
      </c>
      <c r="U88" s="6">
        <f>INDEX('Full Data'!$K:$K,MATCH(F88,'Full Data'!$F:$F,0))</f>
        <v>1402</v>
      </c>
      <c r="V88" t="str">
        <f ca="1"/>
        <v>Electronics</v>
      </c>
    </row>
    <row r="89" spans="1:22" x14ac:dyDescent="0.3">
      <c r="A89" s="2" t="s">
        <v>49</v>
      </c>
      <c r="B89" s="3">
        <v>45862.545439814807</v>
      </c>
      <c r="C89" s="6">
        <v>7</v>
      </c>
      <c r="D89" s="2" t="s">
        <v>38</v>
      </c>
      <c r="E89">
        <v>1002</v>
      </c>
      <c r="F89" s="2" t="s">
        <v>44</v>
      </c>
      <c r="G89">
        <v>9</v>
      </c>
      <c r="H89">
        <v>132</v>
      </c>
      <c r="I89">
        <f t="shared" si="3"/>
        <v>1188</v>
      </c>
      <c r="J89" t="str" cm="1">
        <f t="array" ref="J89:M89">_xlfn.XLOOKUP(F89,Products!A:A,Products!B:E)</f>
        <v>Electronics</v>
      </c>
      <c r="K89">
        <v>1299</v>
      </c>
      <c r="L89">
        <v>469</v>
      </c>
      <c r="M89" s="6">
        <v>0.22</v>
      </c>
      <c r="N89" s="6">
        <f>Append1[[#This Row],[Revenue]]-(Finance_Data!B88+Finance_Data!C88+Finance_Data!D88)</f>
        <v>1188</v>
      </c>
      <c r="O89" s="6">
        <f>Table10[[#Totals],[DeliveryDays]]</f>
        <v>4.8888888888888893</v>
      </c>
      <c r="P89" s="6">
        <f>Table10[[#Totals],[ReturnRate]]</f>
        <v>5.0555555555555527E-2</v>
      </c>
      <c r="Q89" s="6">
        <f t="shared" si="4"/>
        <v>0.19470217777991444</v>
      </c>
      <c r="R89" s="6">
        <f t="shared" si="5"/>
        <v>926.64</v>
      </c>
      <c r="S89" s="6">
        <f>I89-(G89*H89)-Finance_Data!B88</f>
        <v>0</v>
      </c>
      <c r="T89" s="6" t="str">
        <f>IF(I89&gt;50000,"VIP",IF(I89&lt;20000,"Low Value",IF(B89&gt;=20000-50000,"Regular")))</f>
        <v>Low Value</v>
      </c>
      <c r="U89" s="6">
        <f>INDEX('Full Data'!$K:$K,MATCH(F89,'Full Data'!$F:$F,0))</f>
        <v>1299</v>
      </c>
      <c r="V89" t="str">
        <f ca="1"/>
        <v>Electronics</v>
      </c>
    </row>
    <row r="90" spans="1:22" x14ac:dyDescent="0.3">
      <c r="A90" s="2" t="s">
        <v>48</v>
      </c>
      <c r="B90" s="3">
        <v>45861.291134259263</v>
      </c>
      <c r="C90" s="6">
        <v>3</v>
      </c>
      <c r="D90" s="2" t="s">
        <v>39</v>
      </c>
      <c r="E90">
        <v>1018</v>
      </c>
      <c r="F90" s="2" t="s">
        <v>44</v>
      </c>
      <c r="G90">
        <v>4</v>
      </c>
      <c r="H90">
        <v>1817</v>
      </c>
      <c r="I90">
        <f t="shared" si="3"/>
        <v>7268</v>
      </c>
      <c r="J90" t="str" cm="1">
        <f t="array" ref="J90:M90">_xlfn.XLOOKUP(F90,Products!A:A,Products!B:E)</f>
        <v>Electronics</v>
      </c>
      <c r="K90">
        <v>1299</v>
      </c>
      <c r="L90">
        <v>469</v>
      </c>
      <c r="M90" s="6">
        <v>0.22</v>
      </c>
      <c r="N90" s="6">
        <f>Append1[[#This Row],[Revenue]]-(Finance_Data!B89+Finance_Data!C89+Finance_Data!D89)</f>
        <v>7268</v>
      </c>
      <c r="O90" s="6">
        <f>Table10[[#Totals],[DeliveryDays]]</f>
        <v>4.8888888888888893</v>
      </c>
      <c r="P90" s="6">
        <f>Table10[[#Totals],[ReturnRate]]</f>
        <v>5.0555555555555527E-2</v>
      </c>
      <c r="Q90" s="6">
        <f t="shared" si="4"/>
        <v>0.19470217777991444</v>
      </c>
      <c r="R90" s="6">
        <f t="shared" si="5"/>
        <v>5669.04</v>
      </c>
      <c r="S90" s="6">
        <f>I90-(G90*H90)-Finance_Data!B89</f>
        <v>0</v>
      </c>
      <c r="T90" s="6" t="str">
        <f>IF(I90&gt;50000,"VIP",IF(I90&lt;20000,"Low Value",IF(B90&gt;=20000-50000,"Regular")))</f>
        <v>Low Value</v>
      </c>
      <c r="U90" s="6">
        <f>INDEX('Full Data'!$K:$K,MATCH(F90,'Full Data'!$F:$F,0))</f>
        <v>1299</v>
      </c>
      <c r="V90" t="str">
        <f ca="1"/>
        <v>Electronics</v>
      </c>
    </row>
    <row r="91" spans="1:22" x14ac:dyDescent="0.3">
      <c r="A91" s="2" t="s">
        <v>47</v>
      </c>
      <c r="B91" s="3">
        <v>45889.657800925917</v>
      </c>
      <c r="C91" s="6">
        <v>4</v>
      </c>
      <c r="D91" s="2" t="s">
        <v>39</v>
      </c>
      <c r="E91">
        <v>1019</v>
      </c>
      <c r="F91" s="2" t="s">
        <v>42</v>
      </c>
      <c r="G91">
        <v>5</v>
      </c>
      <c r="H91">
        <v>698</v>
      </c>
      <c r="I91">
        <f t="shared" si="3"/>
        <v>3490</v>
      </c>
      <c r="J91" t="str" cm="1">
        <f t="array" ref="J91:M91">_xlfn.XLOOKUP(F91,Products!A:A,Products!B:E)</f>
        <v>Electronics</v>
      </c>
      <c r="K91">
        <v>396</v>
      </c>
      <c r="L91">
        <v>463</v>
      </c>
      <c r="M91" s="6">
        <v>0.23</v>
      </c>
      <c r="N91" s="6">
        <f>Append1[[#This Row],[Revenue]]-(Finance_Data!B90+Finance_Data!C90+Finance_Data!D90)</f>
        <v>3490</v>
      </c>
      <c r="O91" s="6">
        <f>Table10[[#Totals],[DeliveryDays]]</f>
        <v>4.8888888888888893</v>
      </c>
      <c r="P91" s="6">
        <f>Table10[[#Totals],[ReturnRate]]</f>
        <v>5.0555555555555527E-2</v>
      </c>
      <c r="Q91" s="6">
        <f t="shared" si="4"/>
        <v>0.19470217777991444</v>
      </c>
      <c r="R91" s="6">
        <f t="shared" si="5"/>
        <v>2687.3</v>
      </c>
      <c r="S91" s="6">
        <f>I91-(G91*H91)-Finance_Data!B90</f>
        <v>0</v>
      </c>
      <c r="T91" s="6" t="str">
        <f>IF(I91&gt;50000,"VIP",IF(I91&lt;20000,"Low Value",IF(B91&gt;=20000-50000,"Regular")))</f>
        <v>Low Value</v>
      </c>
      <c r="U91" s="6">
        <f>INDEX('Full Data'!$K:$K,MATCH(F91,'Full Data'!$F:$F,0))</f>
        <v>396</v>
      </c>
      <c r="V91" t="str">
        <f ca="1"/>
        <v>Electronics</v>
      </c>
    </row>
    <row r="92" spans="1:22" x14ac:dyDescent="0.3">
      <c r="A92" s="2" t="s">
        <v>46</v>
      </c>
      <c r="B92" s="3">
        <v>45898.258506944447</v>
      </c>
      <c r="C92" s="6">
        <v>5</v>
      </c>
      <c r="D92" s="2" t="s">
        <v>37</v>
      </c>
      <c r="E92">
        <v>1003</v>
      </c>
      <c r="F92" s="2" t="s">
        <v>42</v>
      </c>
      <c r="G92">
        <v>3</v>
      </c>
      <c r="H92">
        <v>651</v>
      </c>
      <c r="I92">
        <f t="shared" si="3"/>
        <v>1953</v>
      </c>
      <c r="J92" t="str" cm="1">
        <f t="array" ref="J92:M92">_xlfn.XLOOKUP(F92,Products!A:A,Products!B:E)</f>
        <v>Electronics</v>
      </c>
      <c r="K92">
        <v>396</v>
      </c>
      <c r="L92">
        <v>463</v>
      </c>
      <c r="M92" s="6">
        <v>0.23</v>
      </c>
      <c r="N92" s="6">
        <f>Append1[[#This Row],[Revenue]]-(Finance_Data!B91+Finance_Data!C91+Finance_Data!D91)</f>
        <v>1953</v>
      </c>
      <c r="O92" s="6">
        <f>Table10[[#Totals],[DeliveryDays]]</f>
        <v>4.8888888888888893</v>
      </c>
      <c r="P92" s="6">
        <f>Table10[[#Totals],[ReturnRate]]</f>
        <v>5.0555555555555527E-2</v>
      </c>
      <c r="Q92" s="6">
        <f t="shared" si="4"/>
        <v>0.19470217777991444</v>
      </c>
      <c r="R92" s="6">
        <f t="shared" si="5"/>
        <v>1503.81</v>
      </c>
      <c r="S92" s="6">
        <f>I92-(G92*H92)-Finance_Data!B91</f>
        <v>0</v>
      </c>
      <c r="T92" s="6" t="str">
        <f>IF(I92&gt;50000,"VIP",IF(I92&lt;20000,"Low Value",IF(B92&gt;=20000-50000,"Regular")))</f>
        <v>Low Value</v>
      </c>
      <c r="U92" s="6">
        <f>INDEX('Full Data'!$K:$K,MATCH(F92,'Full Data'!$F:$F,0))</f>
        <v>396</v>
      </c>
      <c r="V92" t="str">
        <f ca="1"/>
        <v>Electronics</v>
      </c>
    </row>
  </sheetData>
  <mergeCells count="2">
    <mergeCell ref="A1:X1"/>
    <mergeCell ref="Y1:AV1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EEE3-53BD-4829-A23A-6502A121294E}">
  <dimension ref="A1:R92"/>
  <sheetViews>
    <sheetView workbookViewId="0">
      <selection activeCell="S4" sqref="S4"/>
    </sheetView>
  </sheetViews>
  <sheetFormatPr defaultRowHeight="14.4" x14ac:dyDescent="0.3"/>
  <cols>
    <col min="2" max="2" width="10.5546875" bestFit="1" customWidth="1"/>
  </cols>
  <sheetData>
    <row r="1" spans="1:18" s="6" customForma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3">
      <c r="A2" t="s">
        <v>0</v>
      </c>
      <c r="B2" s="3" t="s">
        <v>114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171</v>
      </c>
      <c r="I2" s="6"/>
    </row>
    <row r="3" spans="1:18" x14ac:dyDescent="0.3">
      <c r="A3" t="s">
        <v>6</v>
      </c>
      <c r="B3" s="3">
        <v>45708.027094907397</v>
      </c>
      <c r="C3" t="s">
        <v>36</v>
      </c>
      <c r="D3">
        <v>1018</v>
      </c>
      <c r="E3" t="s">
        <v>40</v>
      </c>
      <c r="F3">
        <v>1</v>
      </c>
      <c r="G3">
        <v>730</v>
      </c>
    </row>
    <row r="4" spans="1:18" x14ac:dyDescent="0.3">
      <c r="A4" t="s">
        <v>7</v>
      </c>
      <c r="B4" s="3">
        <v>45712.236793981479</v>
      </c>
      <c r="C4" t="s">
        <v>36</v>
      </c>
      <c r="D4">
        <v>1004</v>
      </c>
      <c r="E4" t="s">
        <v>41</v>
      </c>
      <c r="F4">
        <v>3</v>
      </c>
      <c r="G4">
        <v>378</v>
      </c>
    </row>
    <row r="5" spans="1:18" x14ac:dyDescent="0.3">
      <c r="A5" t="s">
        <v>8</v>
      </c>
      <c r="B5" s="3">
        <v>45736.268287037034</v>
      </c>
      <c r="C5" t="s">
        <v>37</v>
      </c>
      <c r="D5">
        <v>1005</v>
      </c>
      <c r="E5" t="s">
        <v>42</v>
      </c>
      <c r="F5">
        <v>1</v>
      </c>
      <c r="G5">
        <v>585</v>
      </c>
    </row>
    <row r="6" spans="1:18" x14ac:dyDescent="0.3">
      <c r="A6" t="s">
        <v>9</v>
      </c>
      <c r="B6" s="3">
        <v>45703.571203703701</v>
      </c>
      <c r="C6" t="s">
        <v>38</v>
      </c>
      <c r="D6">
        <v>1018</v>
      </c>
      <c r="E6" t="s">
        <v>43</v>
      </c>
      <c r="F6">
        <v>8</v>
      </c>
      <c r="G6">
        <v>726</v>
      </c>
    </row>
    <row r="7" spans="1:18" x14ac:dyDescent="0.3">
      <c r="A7" t="s">
        <v>10</v>
      </c>
      <c r="B7" s="3">
        <v>45663.685914351852</v>
      </c>
      <c r="C7" t="s">
        <v>39</v>
      </c>
      <c r="D7">
        <v>1012</v>
      </c>
      <c r="E7" t="s">
        <v>44</v>
      </c>
      <c r="F7">
        <v>2</v>
      </c>
      <c r="G7">
        <v>709</v>
      </c>
    </row>
    <row r="8" spans="1:18" x14ac:dyDescent="0.3">
      <c r="A8" t="s">
        <v>11</v>
      </c>
      <c r="B8" s="3">
        <v>45716.226770833331</v>
      </c>
      <c r="C8" t="s">
        <v>38</v>
      </c>
      <c r="D8">
        <v>1013</v>
      </c>
      <c r="E8" t="s">
        <v>44</v>
      </c>
      <c r="F8">
        <v>8</v>
      </c>
      <c r="G8">
        <v>1817</v>
      </c>
    </row>
    <row r="9" spans="1:18" x14ac:dyDescent="0.3">
      <c r="A9" t="s">
        <v>12</v>
      </c>
      <c r="B9" s="3">
        <v>45735.116423611107</v>
      </c>
      <c r="C9" t="s">
        <v>36</v>
      </c>
      <c r="D9">
        <v>1017</v>
      </c>
      <c r="E9" t="s">
        <v>40</v>
      </c>
      <c r="F9">
        <v>9</v>
      </c>
      <c r="G9">
        <v>1976</v>
      </c>
    </row>
    <row r="10" spans="1:18" x14ac:dyDescent="0.3">
      <c r="A10" t="s">
        <v>13</v>
      </c>
      <c r="B10" s="3">
        <v>45707.394131944442</v>
      </c>
      <c r="C10" t="s">
        <v>36</v>
      </c>
      <c r="D10">
        <v>1014</v>
      </c>
      <c r="E10" t="s">
        <v>40</v>
      </c>
      <c r="F10">
        <v>5</v>
      </c>
      <c r="G10">
        <v>1134</v>
      </c>
    </row>
    <row r="11" spans="1:18" x14ac:dyDescent="0.3">
      <c r="A11" t="s">
        <v>14</v>
      </c>
      <c r="B11" s="3">
        <v>45671.497210648151</v>
      </c>
      <c r="C11" t="s">
        <v>36</v>
      </c>
      <c r="D11">
        <v>1020</v>
      </c>
      <c r="E11" t="s">
        <v>45</v>
      </c>
      <c r="F11">
        <v>1</v>
      </c>
      <c r="G11">
        <v>1220</v>
      </c>
    </row>
    <row r="12" spans="1:18" x14ac:dyDescent="0.3">
      <c r="A12" t="s">
        <v>15</v>
      </c>
      <c r="B12" s="3">
        <v>45743.202222222222</v>
      </c>
      <c r="C12" t="s">
        <v>37</v>
      </c>
      <c r="D12">
        <v>1010</v>
      </c>
      <c r="E12" t="s">
        <v>41</v>
      </c>
      <c r="F12">
        <v>2</v>
      </c>
      <c r="G12">
        <v>283</v>
      </c>
    </row>
    <row r="13" spans="1:18" x14ac:dyDescent="0.3">
      <c r="A13" t="s">
        <v>16</v>
      </c>
      <c r="B13" s="3">
        <v>45684.929074074083</v>
      </c>
      <c r="C13" t="s">
        <v>37</v>
      </c>
      <c r="D13">
        <v>1019</v>
      </c>
      <c r="E13" t="s">
        <v>44</v>
      </c>
      <c r="F13">
        <v>9</v>
      </c>
      <c r="G13">
        <v>417</v>
      </c>
    </row>
    <row r="14" spans="1:18" x14ac:dyDescent="0.3">
      <c r="A14" t="s">
        <v>17</v>
      </c>
      <c r="B14" s="3">
        <v>45662.789641203701</v>
      </c>
      <c r="C14" t="s">
        <v>36</v>
      </c>
      <c r="D14">
        <v>1016</v>
      </c>
      <c r="E14" t="s">
        <v>44</v>
      </c>
      <c r="F14">
        <v>3</v>
      </c>
      <c r="G14">
        <v>1692</v>
      </c>
    </row>
    <row r="15" spans="1:18" x14ac:dyDescent="0.3">
      <c r="A15" t="s">
        <v>18</v>
      </c>
      <c r="B15" s="3">
        <v>45693.460138888891</v>
      </c>
      <c r="C15" t="s">
        <v>38</v>
      </c>
      <c r="D15">
        <v>1001</v>
      </c>
      <c r="E15" t="s">
        <v>45</v>
      </c>
      <c r="F15">
        <v>4</v>
      </c>
      <c r="G15">
        <v>1853</v>
      </c>
    </row>
    <row r="16" spans="1:18" x14ac:dyDescent="0.3">
      <c r="A16" t="s">
        <v>19</v>
      </c>
      <c r="B16" s="3">
        <v>45717.254155092603</v>
      </c>
      <c r="C16" t="s">
        <v>36</v>
      </c>
      <c r="D16">
        <v>1005</v>
      </c>
      <c r="E16" t="s">
        <v>45</v>
      </c>
      <c r="F16">
        <v>2</v>
      </c>
      <c r="G16">
        <v>505</v>
      </c>
    </row>
    <row r="17" spans="1:7" x14ac:dyDescent="0.3">
      <c r="A17" t="s">
        <v>20</v>
      </c>
      <c r="B17" s="3">
        <v>45672.072662037041</v>
      </c>
      <c r="C17" t="s">
        <v>36</v>
      </c>
      <c r="D17">
        <v>1016</v>
      </c>
      <c r="E17" t="s">
        <v>42</v>
      </c>
      <c r="F17">
        <v>3</v>
      </c>
      <c r="G17">
        <v>1355</v>
      </c>
    </row>
    <row r="18" spans="1:7" x14ac:dyDescent="0.3">
      <c r="A18" t="s">
        <v>21</v>
      </c>
      <c r="B18" s="3">
        <v>45742.873171296298</v>
      </c>
      <c r="C18" t="s">
        <v>39</v>
      </c>
      <c r="D18">
        <v>1003</v>
      </c>
      <c r="E18" t="s">
        <v>45</v>
      </c>
      <c r="F18">
        <v>8</v>
      </c>
      <c r="G18">
        <v>1220</v>
      </c>
    </row>
    <row r="19" spans="1:7" x14ac:dyDescent="0.3">
      <c r="A19" t="s">
        <v>22</v>
      </c>
      <c r="B19" s="3">
        <v>45688.213564814818</v>
      </c>
      <c r="C19" t="s">
        <v>39</v>
      </c>
      <c r="D19">
        <v>1008</v>
      </c>
      <c r="E19" t="s">
        <v>43</v>
      </c>
      <c r="F19">
        <v>3</v>
      </c>
      <c r="G19">
        <v>605</v>
      </c>
    </row>
    <row r="20" spans="1:7" x14ac:dyDescent="0.3">
      <c r="A20" t="s">
        <v>23</v>
      </c>
      <c r="B20" s="3">
        <v>45718.933310185188</v>
      </c>
      <c r="C20" t="s">
        <v>36</v>
      </c>
      <c r="D20">
        <v>1009</v>
      </c>
      <c r="E20" t="s">
        <v>42</v>
      </c>
      <c r="F20">
        <v>7</v>
      </c>
      <c r="G20">
        <v>1149</v>
      </c>
    </row>
    <row r="21" spans="1:7" x14ac:dyDescent="0.3">
      <c r="A21" t="s">
        <v>24</v>
      </c>
      <c r="B21" s="3">
        <v>45696.451539351852</v>
      </c>
      <c r="C21" t="s">
        <v>39</v>
      </c>
      <c r="D21">
        <v>1010</v>
      </c>
      <c r="E21" t="s">
        <v>41</v>
      </c>
      <c r="F21">
        <v>1</v>
      </c>
      <c r="G21">
        <v>1621</v>
      </c>
    </row>
    <row r="22" spans="1:7" x14ac:dyDescent="0.3">
      <c r="A22" t="s">
        <v>25</v>
      </c>
      <c r="B22" s="3">
        <v>45738.816504629627</v>
      </c>
      <c r="C22" t="s">
        <v>39</v>
      </c>
      <c r="D22">
        <v>1004</v>
      </c>
      <c r="E22" t="s">
        <v>45</v>
      </c>
      <c r="F22">
        <v>3</v>
      </c>
      <c r="G22">
        <v>1010</v>
      </c>
    </row>
    <row r="23" spans="1:7" x14ac:dyDescent="0.3">
      <c r="A23" t="s">
        <v>26</v>
      </c>
      <c r="B23" s="3">
        <v>45713.211342592593</v>
      </c>
      <c r="C23" t="s">
        <v>36</v>
      </c>
      <c r="D23">
        <v>1008</v>
      </c>
      <c r="E23" t="s">
        <v>41</v>
      </c>
      <c r="F23">
        <v>7</v>
      </c>
      <c r="G23">
        <v>241</v>
      </c>
    </row>
    <row r="24" spans="1:7" x14ac:dyDescent="0.3">
      <c r="A24" t="s">
        <v>27</v>
      </c>
      <c r="B24" s="3">
        <v>45723.977905092594</v>
      </c>
      <c r="C24" t="s">
        <v>37</v>
      </c>
      <c r="D24">
        <v>1005</v>
      </c>
      <c r="E24" t="s">
        <v>45</v>
      </c>
      <c r="F24">
        <v>7</v>
      </c>
      <c r="G24">
        <v>1336</v>
      </c>
    </row>
    <row r="25" spans="1:7" x14ac:dyDescent="0.3">
      <c r="A25" t="s">
        <v>28</v>
      </c>
      <c r="B25" s="3">
        <v>45662.648842592593</v>
      </c>
      <c r="C25" t="s">
        <v>37</v>
      </c>
      <c r="D25">
        <v>1006</v>
      </c>
      <c r="E25" t="s">
        <v>44</v>
      </c>
      <c r="F25">
        <v>3</v>
      </c>
      <c r="G25">
        <v>1752</v>
      </c>
    </row>
    <row r="26" spans="1:7" x14ac:dyDescent="0.3">
      <c r="A26" t="s">
        <v>29</v>
      </c>
      <c r="B26" s="3">
        <v>45715.878263888888</v>
      </c>
      <c r="C26" t="s">
        <v>38</v>
      </c>
      <c r="D26">
        <v>1020</v>
      </c>
      <c r="E26" t="s">
        <v>41</v>
      </c>
      <c r="F26">
        <v>8</v>
      </c>
      <c r="G26">
        <v>911</v>
      </c>
    </row>
    <row r="27" spans="1:7" x14ac:dyDescent="0.3">
      <c r="A27" t="s">
        <v>30</v>
      </c>
      <c r="B27" s="3">
        <v>45710.772175925929</v>
      </c>
      <c r="C27" t="s">
        <v>36</v>
      </c>
      <c r="D27">
        <v>1007</v>
      </c>
      <c r="E27" t="s">
        <v>42</v>
      </c>
      <c r="F27">
        <v>8</v>
      </c>
      <c r="G27">
        <v>1770</v>
      </c>
    </row>
    <row r="28" spans="1:7" x14ac:dyDescent="0.3">
      <c r="A28" t="s">
        <v>31</v>
      </c>
      <c r="B28" s="3">
        <v>45660.179594907408</v>
      </c>
      <c r="C28" t="s">
        <v>39</v>
      </c>
      <c r="D28">
        <v>1009</v>
      </c>
      <c r="E28" t="s">
        <v>41</v>
      </c>
      <c r="F28">
        <v>1</v>
      </c>
      <c r="G28">
        <v>1841</v>
      </c>
    </row>
    <row r="29" spans="1:7" x14ac:dyDescent="0.3">
      <c r="A29" t="s">
        <v>32</v>
      </c>
      <c r="B29" s="3">
        <v>45718.188310185193</v>
      </c>
      <c r="C29" t="s">
        <v>38</v>
      </c>
      <c r="D29">
        <v>1001</v>
      </c>
      <c r="E29" t="s">
        <v>42</v>
      </c>
      <c r="F29">
        <v>7</v>
      </c>
      <c r="G29">
        <v>796</v>
      </c>
    </row>
    <row r="30" spans="1:7" x14ac:dyDescent="0.3">
      <c r="A30" t="s">
        <v>33</v>
      </c>
      <c r="B30" s="3">
        <v>45685.123541666668</v>
      </c>
      <c r="C30" t="s">
        <v>37</v>
      </c>
      <c r="D30">
        <v>1003</v>
      </c>
      <c r="E30" t="s">
        <v>42</v>
      </c>
      <c r="F30">
        <v>6</v>
      </c>
      <c r="G30">
        <v>1011</v>
      </c>
    </row>
    <row r="31" spans="1:7" x14ac:dyDescent="0.3">
      <c r="A31" t="s">
        <v>34</v>
      </c>
      <c r="B31" s="3">
        <v>45722.085451388892</v>
      </c>
      <c r="C31" t="s">
        <v>37</v>
      </c>
      <c r="D31">
        <v>1011</v>
      </c>
      <c r="E31" t="s">
        <v>45</v>
      </c>
      <c r="F31">
        <v>2</v>
      </c>
      <c r="G31">
        <v>1660</v>
      </c>
    </row>
    <row r="32" spans="1:7" x14ac:dyDescent="0.3">
      <c r="A32" t="s">
        <v>35</v>
      </c>
      <c r="B32" s="3">
        <v>45666.62767361111</v>
      </c>
      <c r="C32" t="s">
        <v>38</v>
      </c>
      <c r="D32">
        <v>1016</v>
      </c>
      <c r="E32" t="s">
        <v>42</v>
      </c>
      <c r="F32">
        <v>5</v>
      </c>
      <c r="G32">
        <v>1119</v>
      </c>
    </row>
    <row r="33" spans="1:7" x14ac:dyDescent="0.3">
      <c r="A33" t="s">
        <v>105</v>
      </c>
      <c r="B33" s="3">
        <v>45770.271574074082</v>
      </c>
      <c r="C33" t="s">
        <v>39</v>
      </c>
      <c r="D33">
        <v>1016</v>
      </c>
      <c r="E33" t="s">
        <v>40</v>
      </c>
      <c r="F33">
        <v>7</v>
      </c>
      <c r="G33">
        <v>1039</v>
      </c>
    </row>
    <row r="34" spans="1:7" x14ac:dyDescent="0.3">
      <c r="A34" t="s">
        <v>104</v>
      </c>
      <c r="B34" s="3">
        <v>45821.985358796293</v>
      </c>
      <c r="C34" t="s">
        <v>37</v>
      </c>
      <c r="D34">
        <v>1010</v>
      </c>
      <c r="E34" t="s">
        <v>43</v>
      </c>
      <c r="F34">
        <v>2</v>
      </c>
      <c r="G34">
        <v>809</v>
      </c>
    </row>
    <row r="35" spans="1:7" x14ac:dyDescent="0.3">
      <c r="A35" t="s">
        <v>103</v>
      </c>
      <c r="B35" s="3">
        <v>45774.624965277777</v>
      </c>
      <c r="C35" t="s">
        <v>37</v>
      </c>
      <c r="D35">
        <v>1014</v>
      </c>
      <c r="E35" t="s">
        <v>42</v>
      </c>
      <c r="F35">
        <v>5</v>
      </c>
      <c r="G35">
        <v>1951</v>
      </c>
    </row>
    <row r="36" spans="1:7" x14ac:dyDescent="0.3">
      <c r="A36" t="s">
        <v>102</v>
      </c>
      <c r="B36" s="3">
        <v>45789.475810185177</v>
      </c>
      <c r="C36" t="s">
        <v>36</v>
      </c>
      <c r="D36">
        <v>1009</v>
      </c>
      <c r="E36" t="s">
        <v>43</v>
      </c>
      <c r="F36">
        <v>1</v>
      </c>
      <c r="G36">
        <v>1187</v>
      </c>
    </row>
    <row r="37" spans="1:7" x14ac:dyDescent="0.3">
      <c r="A37" t="s">
        <v>101</v>
      </c>
      <c r="B37" s="3">
        <v>45771.114571759259</v>
      </c>
      <c r="C37" t="s">
        <v>39</v>
      </c>
      <c r="D37">
        <v>1018</v>
      </c>
      <c r="E37" t="s">
        <v>41</v>
      </c>
      <c r="F37">
        <v>9</v>
      </c>
      <c r="G37">
        <v>1259</v>
      </c>
    </row>
    <row r="38" spans="1:7" x14ac:dyDescent="0.3">
      <c r="A38" t="s">
        <v>100</v>
      </c>
      <c r="B38" s="3">
        <v>45833.931319444448</v>
      </c>
      <c r="C38" t="s">
        <v>39</v>
      </c>
      <c r="D38">
        <v>1010</v>
      </c>
      <c r="E38" t="s">
        <v>42</v>
      </c>
      <c r="F38">
        <v>6</v>
      </c>
      <c r="G38">
        <v>1460</v>
      </c>
    </row>
    <row r="39" spans="1:7" x14ac:dyDescent="0.3">
      <c r="A39" t="s">
        <v>99</v>
      </c>
      <c r="B39" s="3">
        <v>45766.59642361111</v>
      </c>
      <c r="C39" t="s">
        <v>38</v>
      </c>
      <c r="D39">
        <v>1010</v>
      </c>
      <c r="E39" t="s">
        <v>45</v>
      </c>
      <c r="F39">
        <v>5</v>
      </c>
      <c r="G39">
        <v>1485</v>
      </c>
    </row>
    <row r="40" spans="1:7" x14ac:dyDescent="0.3">
      <c r="A40" t="s">
        <v>98</v>
      </c>
      <c r="B40" s="3">
        <v>45770.167129629634</v>
      </c>
      <c r="C40" t="s">
        <v>38</v>
      </c>
      <c r="D40">
        <v>1015</v>
      </c>
      <c r="E40" t="s">
        <v>43</v>
      </c>
      <c r="F40">
        <v>3</v>
      </c>
      <c r="G40">
        <v>1472</v>
      </c>
    </row>
    <row r="41" spans="1:7" x14ac:dyDescent="0.3">
      <c r="A41" t="s">
        <v>97</v>
      </c>
      <c r="B41" s="3">
        <v>45759.131932870368</v>
      </c>
      <c r="C41" t="s">
        <v>37</v>
      </c>
      <c r="D41">
        <v>1020</v>
      </c>
      <c r="E41" t="s">
        <v>44</v>
      </c>
      <c r="F41">
        <v>8</v>
      </c>
      <c r="G41">
        <v>1331</v>
      </c>
    </row>
    <row r="42" spans="1:7" x14ac:dyDescent="0.3">
      <c r="A42" t="s">
        <v>96</v>
      </c>
      <c r="B42" s="3">
        <v>45760.760393518518</v>
      </c>
      <c r="C42" t="s">
        <v>37</v>
      </c>
      <c r="D42">
        <v>1001</v>
      </c>
      <c r="E42" t="s">
        <v>43</v>
      </c>
      <c r="F42">
        <v>2</v>
      </c>
      <c r="G42">
        <v>222</v>
      </c>
    </row>
    <row r="43" spans="1:7" x14ac:dyDescent="0.3">
      <c r="A43" t="s">
        <v>95</v>
      </c>
      <c r="B43" s="3">
        <v>45754.452418981477</v>
      </c>
      <c r="C43" t="s">
        <v>36</v>
      </c>
      <c r="D43">
        <v>1012</v>
      </c>
      <c r="E43" t="s">
        <v>41</v>
      </c>
      <c r="F43">
        <v>3</v>
      </c>
      <c r="G43">
        <v>1781</v>
      </c>
    </row>
    <row r="44" spans="1:7" x14ac:dyDescent="0.3">
      <c r="A44" t="s">
        <v>94</v>
      </c>
      <c r="B44" s="3">
        <v>45823.740358796298</v>
      </c>
      <c r="C44" t="s">
        <v>37</v>
      </c>
      <c r="D44">
        <v>1001</v>
      </c>
      <c r="E44" t="s">
        <v>41</v>
      </c>
      <c r="F44">
        <v>2</v>
      </c>
      <c r="G44">
        <v>1545</v>
      </c>
    </row>
    <row r="45" spans="1:7" x14ac:dyDescent="0.3">
      <c r="A45" t="s">
        <v>93</v>
      </c>
      <c r="B45" s="3">
        <v>45827.390497685177</v>
      </c>
      <c r="C45" t="s">
        <v>38</v>
      </c>
      <c r="D45">
        <v>1019</v>
      </c>
      <c r="E45" t="s">
        <v>44</v>
      </c>
      <c r="F45">
        <v>1</v>
      </c>
      <c r="G45">
        <v>1437</v>
      </c>
    </row>
    <row r="46" spans="1:7" x14ac:dyDescent="0.3">
      <c r="A46" t="s">
        <v>92</v>
      </c>
      <c r="B46" s="3">
        <v>45754.479502314818</v>
      </c>
      <c r="C46" t="s">
        <v>39</v>
      </c>
      <c r="D46">
        <v>1009</v>
      </c>
      <c r="E46" t="s">
        <v>44</v>
      </c>
      <c r="F46">
        <v>8</v>
      </c>
      <c r="G46">
        <v>1539</v>
      </c>
    </row>
    <row r="47" spans="1:7" x14ac:dyDescent="0.3">
      <c r="A47" t="s">
        <v>91</v>
      </c>
      <c r="B47" s="3">
        <v>45788.261284722219</v>
      </c>
      <c r="C47" t="s">
        <v>39</v>
      </c>
      <c r="D47">
        <v>1013</v>
      </c>
      <c r="E47" t="s">
        <v>45</v>
      </c>
      <c r="F47">
        <v>2</v>
      </c>
      <c r="G47">
        <v>1414</v>
      </c>
    </row>
    <row r="48" spans="1:7" x14ac:dyDescent="0.3">
      <c r="A48" t="s">
        <v>90</v>
      </c>
      <c r="B48" s="3">
        <v>45789.088136574072</v>
      </c>
      <c r="C48" t="s">
        <v>38</v>
      </c>
      <c r="D48">
        <v>1011</v>
      </c>
      <c r="E48" t="s">
        <v>41</v>
      </c>
      <c r="F48">
        <v>9</v>
      </c>
      <c r="G48">
        <v>1076</v>
      </c>
    </row>
    <row r="49" spans="1:7" x14ac:dyDescent="0.3">
      <c r="A49" t="s">
        <v>89</v>
      </c>
      <c r="B49" s="3">
        <v>45787.813692129632</v>
      </c>
      <c r="C49" t="s">
        <v>39</v>
      </c>
      <c r="D49">
        <v>1009</v>
      </c>
      <c r="E49" t="s">
        <v>45</v>
      </c>
      <c r="F49">
        <v>1</v>
      </c>
      <c r="G49">
        <v>398</v>
      </c>
    </row>
    <row r="50" spans="1:7" x14ac:dyDescent="0.3">
      <c r="A50" t="s">
        <v>88</v>
      </c>
      <c r="B50" s="3">
        <v>45807.765486111108</v>
      </c>
      <c r="C50" t="s">
        <v>38</v>
      </c>
      <c r="D50">
        <v>1003</v>
      </c>
      <c r="E50" t="s">
        <v>41</v>
      </c>
      <c r="F50">
        <v>8</v>
      </c>
      <c r="G50">
        <v>1684</v>
      </c>
    </row>
    <row r="51" spans="1:7" x14ac:dyDescent="0.3">
      <c r="A51" t="s">
        <v>87</v>
      </c>
      <c r="B51" s="3">
        <v>45749.992546296293</v>
      </c>
      <c r="C51" t="s">
        <v>39</v>
      </c>
      <c r="D51">
        <v>1010</v>
      </c>
      <c r="E51" t="s">
        <v>45</v>
      </c>
      <c r="F51">
        <v>1</v>
      </c>
      <c r="G51">
        <v>648</v>
      </c>
    </row>
    <row r="52" spans="1:7" x14ac:dyDescent="0.3">
      <c r="A52" t="s">
        <v>86</v>
      </c>
      <c r="B52" s="3">
        <v>45816.867118055547</v>
      </c>
      <c r="C52" t="s">
        <v>38</v>
      </c>
      <c r="D52">
        <v>1006</v>
      </c>
      <c r="E52" t="s">
        <v>44</v>
      </c>
      <c r="F52">
        <v>6</v>
      </c>
      <c r="G52">
        <v>634</v>
      </c>
    </row>
    <row r="53" spans="1:7" x14ac:dyDescent="0.3">
      <c r="A53" t="s">
        <v>85</v>
      </c>
      <c r="B53" s="3">
        <v>45835.860034722216</v>
      </c>
      <c r="C53" t="s">
        <v>37</v>
      </c>
      <c r="D53">
        <v>1007</v>
      </c>
      <c r="E53" t="s">
        <v>44</v>
      </c>
      <c r="F53">
        <v>3</v>
      </c>
      <c r="G53">
        <v>119</v>
      </c>
    </row>
    <row r="54" spans="1:7" x14ac:dyDescent="0.3">
      <c r="A54" t="s">
        <v>84</v>
      </c>
      <c r="B54" s="3">
        <v>45773.565625000003</v>
      </c>
      <c r="C54" t="s">
        <v>37</v>
      </c>
      <c r="D54">
        <v>1007</v>
      </c>
      <c r="E54" t="s">
        <v>43</v>
      </c>
      <c r="F54">
        <v>6</v>
      </c>
      <c r="G54">
        <v>1219</v>
      </c>
    </row>
    <row r="55" spans="1:7" x14ac:dyDescent="0.3">
      <c r="A55" t="s">
        <v>83</v>
      </c>
      <c r="B55" s="3">
        <v>45790.724930555552</v>
      </c>
      <c r="C55" t="s">
        <v>36</v>
      </c>
      <c r="D55">
        <v>1020</v>
      </c>
      <c r="E55" t="s">
        <v>45</v>
      </c>
      <c r="F55">
        <v>2</v>
      </c>
      <c r="G55">
        <v>1169</v>
      </c>
    </row>
    <row r="56" spans="1:7" x14ac:dyDescent="0.3">
      <c r="A56" t="s">
        <v>82</v>
      </c>
      <c r="B56" s="3">
        <v>45790.060497685183</v>
      </c>
      <c r="C56" t="s">
        <v>37</v>
      </c>
      <c r="D56">
        <v>1019</v>
      </c>
      <c r="E56" t="s">
        <v>41</v>
      </c>
      <c r="F56">
        <v>4</v>
      </c>
      <c r="G56">
        <v>1964</v>
      </c>
    </row>
    <row r="57" spans="1:7" x14ac:dyDescent="0.3">
      <c r="A57" t="s">
        <v>81</v>
      </c>
      <c r="B57" s="3">
        <v>45797.920590277783</v>
      </c>
      <c r="C57" t="s">
        <v>37</v>
      </c>
      <c r="D57">
        <v>1002</v>
      </c>
      <c r="E57" t="s">
        <v>40</v>
      </c>
      <c r="F57">
        <v>4</v>
      </c>
      <c r="G57">
        <v>1929</v>
      </c>
    </row>
    <row r="58" spans="1:7" x14ac:dyDescent="0.3">
      <c r="A58" t="s">
        <v>80</v>
      </c>
      <c r="B58" s="3">
        <v>45756.893043981479</v>
      </c>
      <c r="C58" t="s">
        <v>38</v>
      </c>
      <c r="D58">
        <v>1005</v>
      </c>
      <c r="E58" t="s">
        <v>45</v>
      </c>
      <c r="F58">
        <v>2</v>
      </c>
      <c r="G58">
        <v>109</v>
      </c>
    </row>
    <row r="59" spans="1:7" x14ac:dyDescent="0.3">
      <c r="A59" t="s">
        <v>79</v>
      </c>
      <c r="B59" s="3">
        <v>45782.080439814818</v>
      </c>
      <c r="C59" t="s">
        <v>39</v>
      </c>
      <c r="D59">
        <v>1009</v>
      </c>
      <c r="E59" t="s">
        <v>43</v>
      </c>
      <c r="F59">
        <v>9</v>
      </c>
      <c r="G59">
        <v>249</v>
      </c>
    </row>
    <row r="60" spans="1:7" x14ac:dyDescent="0.3">
      <c r="A60" t="s">
        <v>78</v>
      </c>
      <c r="B60" s="3">
        <v>45770.850115740737</v>
      </c>
      <c r="C60" t="s">
        <v>38</v>
      </c>
      <c r="D60">
        <v>1018</v>
      </c>
      <c r="E60" t="s">
        <v>41</v>
      </c>
      <c r="F60">
        <v>7</v>
      </c>
      <c r="G60">
        <v>520</v>
      </c>
    </row>
    <row r="61" spans="1:7" x14ac:dyDescent="0.3">
      <c r="A61" t="s">
        <v>77</v>
      </c>
      <c r="B61" s="3">
        <v>45811.899641203701</v>
      </c>
      <c r="C61" t="s">
        <v>36</v>
      </c>
      <c r="D61">
        <v>1007</v>
      </c>
      <c r="E61" t="s">
        <v>42</v>
      </c>
      <c r="F61">
        <v>9</v>
      </c>
      <c r="G61">
        <v>854</v>
      </c>
    </row>
    <row r="62" spans="1:7" x14ac:dyDescent="0.3">
      <c r="A62" t="s">
        <v>76</v>
      </c>
      <c r="B62" s="3">
        <v>45752.782893518517</v>
      </c>
      <c r="C62" t="s">
        <v>38</v>
      </c>
      <c r="D62">
        <v>1006</v>
      </c>
      <c r="E62" t="s">
        <v>41</v>
      </c>
      <c r="F62">
        <v>2</v>
      </c>
      <c r="G62">
        <v>1035</v>
      </c>
    </row>
    <row r="63" spans="1:7" x14ac:dyDescent="0.3">
      <c r="A63" t="s">
        <v>75</v>
      </c>
      <c r="B63" s="3">
        <v>45839.827893518523</v>
      </c>
      <c r="C63" t="s">
        <v>39</v>
      </c>
      <c r="D63">
        <v>1001</v>
      </c>
      <c r="E63" t="s">
        <v>42</v>
      </c>
      <c r="F63">
        <v>4</v>
      </c>
      <c r="G63">
        <v>160</v>
      </c>
    </row>
    <row r="64" spans="1:7" x14ac:dyDescent="0.3">
      <c r="A64" t="s">
        <v>74</v>
      </c>
      <c r="B64" s="3">
        <v>45859.499537037038</v>
      </c>
      <c r="C64" t="s">
        <v>36</v>
      </c>
      <c r="D64">
        <v>1001</v>
      </c>
      <c r="E64" t="s">
        <v>42</v>
      </c>
      <c r="F64">
        <v>1</v>
      </c>
      <c r="G64">
        <v>233</v>
      </c>
    </row>
    <row r="65" spans="1:7" x14ac:dyDescent="0.3">
      <c r="A65" t="s">
        <v>73</v>
      </c>
      <c r="B65" s="3">
        <v>45894.505104166667</v>
      </c>
      <c r="C65" t="s">
        <v>37</v>
      </c>
      <c r="D65">
        <v>1010</v>
      </c>
      <c r="E65" t="s">
        <v>43</v>
      </c>
      <c r="F65">
        <v>9</v>
      </c>
      <c r="G65">
        <v>312</v>
      </c>
    </row>
    <row r="66" spans="1:7" x14ac:dyDescent="0.3">
      <c r="A66" t="s">
        <v>72</v>
      </c>
      <c r="B66" s="3">
        <v>45844.2341087963</v>
      </c>
      <c r="C66" t="s">
        <v>38</v>
      </c>
      <c r="D66">
        <v>1019</v>
      </c>
      <c r="E66" t="s">
        <v>44</v>
      </c>
      <c r="F66">
        <v>3</v>
      </c>
      <c r="G66">
        <v>603</v>
      </c>
    </row>
    <row r="67" spans="1:7" x14ac:dyDescent="0.3">
      <c r="A67" t="s">
        <v>71</v>
      </c>
      <c r="B67" s="3">
        <v>45850.673425925917</v>
      </c>
      <c r="C67" t="s">
        <v>36</v>
      </c>
      <c r="D67">
        <v>1006</v>
      </c>
      <c r="E67" t="s">
        <v>42</v>
      </c>
      <c r="F67">
        <v>8</v>
      </c>
      <c r="G67">
        <v>1987</v>
      </c>
    </row>
    <row r="68" spans="1:7" x14ac:dyDescent="0.3">
      <c r="A68" t="s">
        <v>70</v>
      </c>
      <c r="B68" s="3">
        <v>45891.79111111111</v>
      </c>
      <c r="C68" t="s">
        <v>39</v>
      </c>
      <c r="D68">
        <v>1008</v>
      </c>
      <c r="E68" t="s">
        <v>44</v>
      </c>
      <c r="F68">
        <v>3</v>
      </c>
      <c r="G68">
        <v>589</v>
      </c>
    </row>
    <row r="69" spans="1:7" x14ac:dyDescent="0.3">
      <c r="A69" t="s">
        <v>69</v>
      </c>
      <c r="B69" s="3">
        <v>45886.32172453704</v>
      </c>
      <c r="C69" t="s">
        <v>38</v>
      </c>
      <c r="D69">
        <v>1006</v>
      </c>
      <c r="E69" t="s">
        <v>41</v>
      </c>
      <c r="F69">
        <v>2</v>
      </c>
      <c r="G69">
        <v>1742</v>
      </c>
    </row>
    <row r="70" spans="1:7" x14ac:dyDescent="0.3">
      <c r="A70" t="s">
        <v>68</v>
      </c>
      <c r="B70" s="3">
        <v>45857.334780092591</v>
      </c>
      <c r="C70" t="s">
        <v>36</v>
      </c>
      <c r="D70">
        <v>1015</v>
      </c>
      <c r="E70" t="s">
        <v>43</v>
      </c>
      <c r="F70">
        <v>4</v>
      </c>
      <c r="G70">
        <v>1461</v>
      </c>
    </row>
    <row r="71" spans="1:7" x14ac:dyDescent="0.3">
      <c r="A71" t="s">
        <v>67</v>
      </c>
      <c r="B71" s="3">
        <v>45914.314293981479</v>
      </c>
      <c r="C71" t="s">
        <v>36</v>
      </c>
      <c r="D71">
        <v>1002</v>
      </c>
      <c r="E71" t="s">
        <v>44</v>
      </c>
      <c r="F71">
        <v>3</v>
      </c>
      <c r="G71">
        <v>1133</v>
      </c>
    </row>
    <row r="72" spans="1:7" x14ac:dyDescent="0.3">
      <c r="A72" t="s">
        <v>66</v>
      </c>
      <c r="B72" s="3">
        <v>45926.581597222219</v>
      </c>
      <c r="C72" t="s">
        <v>38</v>
      </c>
      <c r="D72">
        <v>1018</v>
      </c>
      <c r="E72" t="s">
        <v>42</v>
      </c>
      <c r="F72">
        <v>5</v>
      </c>
      <c r="G72">
        <v>644</v>
      </c>
    </row>
    <row r="73" spans="1:7" x14ac:dyDescent="0.3">
      <c r="A73" t="s">
        <v>65</v>
      </c>
      <c r="B73" s="3">
        <v>45897.155312499999</v>
      </c>
      <c r="C73" t="s">
        <v>39</v>
      </c>
      <c r="D73">
        <v>1002</v>
      </c>
      <c r="E73" t="s">
        <v>41</v>
      </c>
      <c r="F73">
        <v>2</v>
      </c>
      <c r="G73">
        <v>1265</v>
      </c>
    </row>
    <row r="74" spans="1:7" x14ac:dyDescent="0.3">
      <c r="A74" t="s">
        <v>64</v>
      </c>
      <c r="B74" s="3">
        <v>45868.096215277779</v>
      </c>
      <c r="C74" t="s">
        <v>37</v>
      </c>
      <c r="D74">
        <v>1011</v>
      </c>
      <c r="E74" t="s">
        <v>40</v>
      </c>
      <c r="F74">
        <v>3</v>
      </c>
      <c r="G74">
        <v>1634</v>
      </c>
    </row>
    <row r="75" spans="1:7" x14ac:dyDescent="0.3">
      <c r="A75" t="s">
        <v>63</v>
      </c>
      <c r="B75" s="3">
        <v>45916.957511574074</v>
      </c>
      <c r="C75" t="s">
        <v>38</v>
      </c>
      <c r="D75">
        <v>1012</v>
      </c>
      <c r="E75" t="s">
        <v>45</v>
      </c>
      <c r="F75">
        <v>3</v>
      </c>
      <c r="G75">
        <v>144</v>
      </c>
    </row>
    <row r="76" spans="1:7" x14ac:dyDescent="0.3">
      <c r="A76" t="s">
        <v>62</v>
      </c>
      <c r="B76" s="3">
        <v>45849.520115740743</v>
      </c>
      <c r="C76" t="s">
        <v>37</v>
      </c>
      <c r="D76">
        <v>1005</v>
      </c>
      <c r="E76" t="s">
        <v>40</v>
      </c>
      <c r="F76">
        <v>8</v>
      </c>
      <c r="G76">
        <v>1707</v>
      </c>
    </row>
    <row r="77" spans="1:7" x14ac:dyDescent="0.3">
      <c r="A77" t="s">
        <v>61</v>
      </c>
      <c r="B77" s="3">
        <v>45873.09915509259</v>
      </c>
      <c r="C77" t="s">
        <v>39</v>
      </c>
      <c r="D77">
        <v>1004</v>
      </c>
      <c r="E77" t="s">
        <v>44</v>
      </c>
      <c r="F77">
        <v>4</v>
      </c>
      <c r="G77">
        <v>960</v>
      </c>
    </row>
    <row r="78" spans="1:7" x14ac:dyDescent="0.3">
      <c r="A78" t="s">
        <v>60</v>
      </c>
      <c r="B78" s="3">
        <v>45926.222662037027</v>
      </c>
      <c r="C78" t="s">
        <v>37</v>
      </c>
      <c r="D78">
        <v>1017</v>
      </c>
      <c r="E78" t="s">
        <v>44</v>
      </c>
      <c r="F78">
        <v>5</v>
      </c>
      <c r="G78">
        <v>1416</v>
      </c>
    </row>
    <row r="79" spans="1:7" x14ac:dyDescent="0.3">
      <c r="A79" t="s">
        <v>59</v>
      </c>
      <c r="B79" s="3">
        <v>45906.44259259259</v>
      </c>
      <c r="C79" t="s">
        <v>36</v>
      </c>
      <c r="D79">
        <v>1017</v>
      </c>
      <c r="E79" t="s">
        <v>45</v>
      </c>
      <c r="F79">
        <v>2</v>
      </c>
      <c r="G79">
        <v>300</v>
      </c>
    </row>
    <row r="80" spans="1:7" x14ac:dyDescent="0.3">
      <c r="A80" t="s">
        <v>58</v>
      </c>
      <c r="B80" s="3">
        <v>45911.789861111109</v>
      </c>
      <c r="C80" t="s">
        <v>37</v>
      </c>
      <c r="D80">
        <v>1001</v>
      </c>
      <c r="E80" t="s">
        <v>44</v>
      </c>
      <c r="F80">
        <v>7</v>
      </c>
      <c r="G80">
        <v>608</v>
      </c>
    </row>
    <row r="81" spans="1:7" x14ac:dyDescent="0.3">
      <c r="A81" t="s">
        <v>57</v>
      </c>
      <c r="B81" s="3">
        <v>45867.799027777779</v>
      </c>
      <c r="C81" t="s">
        <v>37</v>
      </c>
      <c r="D81">
        <v>1017</v>
      </c>
      <c r="E81" t="s">
        <v>44</v>
      </c>
      <c r="F81">
        <v>8</v>
      </c>
      <c r="G81">
        <v>1150</v>
      </c>
    </row>
    <row r="82" spans="1:7" x14ac:dyDescent="0.3">
      <c r="A82" t="s">
        <v>56</v>
      </c>
      <c r="B82" s="3">
        <v>45880.701817129629</v>
      </c>
      <c r="C82" t="s">
        <v>39</v>
      </c>
      <c r="D82">
        <v>1019</v>
      </c>
      <c r="E82" t="s">
        <v>40</v>
      </c>
      <c r="F82">
        <v>2</v>
      </c>
      <c r="G82">
        <v>508</v>
      </c>
    </row>
    <row r="83" spans="1:7" x14ac:dyDescent="0.3">
      <c r="A83" t="s">
        <v>55</v>
      </c>
      <c r="B83" s="3">
        <v>45926.246377314812</v>
      </c>
      <c r="C83" t="s">
        <v>36</v>
      </c>
      <c r="D83">
        <v>1019</v>
      </c>
      <c r="E83" t="s">
        <v>40</v>
      </c>
      <c r="F83">
        <v>1</v>
      </c>
      <c r="G83">
        <v>1272</v>
      </c>
    </row>
    <row r="84" spans="1:7" x14ac:dyDescent="0.3">
      <c r="A84" t="s">
        <v>54</v>
      </c>
      <c r="B84" s="3">
        <v>45841.351273148153</v>
      </c>
      <c r="C84" t="s">
        <v>39</v>
      </c>
      <c r="D84">
        <v>1012</v>
      </c>
      <c r="E84" t="s">
        <v>42</v>
      </c>
      <c r="F84">
        <v>1</v>
      </c>
      <c r="G84">
        <v>1186</v>
      </c>
    </row>
    <row r="85" spans="1:7" x14ac:dyDescent="0.3">
      <c r="A85" t="s">
        <v>53</v>
      </c>
      <c r="B85" s="3">
        <v>45874.122870370367</v>
      </c>
      <c r="C85" t="s">
        <v>38</v>
      </c>
      <c r="D85">
        <v>1001</v>
      </c>
      <c r="E85" t="s">
        <v>44</v>
      </c>
      <c r="F85">
        <v>6</v>
      </c>
      <c r="G85">
        <v>272</v>
      </c>
    </row>
    <row r="86" spans="1:7" x14ac:dyDescent="0.3">
      <c r="A86" t="s">
        <v>52</v>
      </c>
      <c r="B86" s="3">
        <v>45875.450671296298</v>
      </c>
      <c r="C86" t="s">
        <v>36</v>
      </c>
      <c r="D86">
        <v>1014</v>
      </c>
      <c r="E86" t="s">
        <v>41</v>
      </c>
      <c r="F86">
        <v>9</v>
      </c>
      <c r="G86">
        <v>1794</v>
      </c>
    </row>
    <row r="87" spans="1:7" x14ac:dyDescent="0.3">
      <c r="A87" t="s">
        <v>51</v>
      </c>
      <c r="B87" s="3">
        <v>45895.845381944448</v>
      </c>
      <c r="C87" t="s">
        <v>36</v>
      </c>
      <c r="D87">
        <v>1006</v>
      </c>
      <c r="E87" t="s">
        <v>42</v>
      </c>
      <c r="F87">
        <v>5</v>
      </c>
      <c r="G87">
        <v>757</v>
      </c>
    </row>
    <row r="88" spans="1:7" x14ac:dyDescent="0.3">
      <c r="A88" t="s">
        <v>50</v>
      </c>
      <c r="B88" s="3">
        <v>45858.359560185178</v>
      </c>
      <c r="C88" t="s">
        <v>37</v>
      </c>
      <c r="D88">
        <v>1017</v>
      </c>
      <c r="E88" t="s">
        <v>43</v>
      </c>
      <c r="F88">
        <v>9</v>
      </c>
      <c r="G88">
        <v>472</v>
      </c>
    </row>
    <row r="89" spans="1:7" x14ac:dyDescent="0.3">
      <c r="A89" t="s">
        <v>49</v>
      </c>
      <c r="B89" s="3">
        <v>45862.545439814807</v>
      </c>
      <c r="C89" t="s">
        <v>38</v>
      </c>
      <c r="D89">
        <v>1002</v>
      </c>
      <c r="E89" t="s">
        <v>44</v>
      </c>
      <c r="F89">
        <v>9</v>
      </c>
      <c r="G89">
        <v>132</v>
      </c>
    </row>
    <row r="90" spans="1:7" x14ac:dyDescent="0.3">
      <c r="A90" t="s">
        <v>48</v>
      </c>
      <c r="B90" s="3">
        <v>45861.291134259263</v>
      </c>
      <c r="C90" t="s">
        <v>39</v>
      </c>
      <c r="D90">
        <v>1018</v>
      </c>
      <c r="E90" t="s">
        <v>44</v>
      </c>
      <c r="F90">
        <v>4</v>
      </c>
      <c r="G90">
        <v>1817</v>
      </c>
    </row>
    <row r="91" spans="1:7" x14ac:dyDescent="0.3">
      <c r="A91" t="s">
        <v>47</v>
      </c>
      <c r="B91" s="3">
        <v>45889.657800925917</v>
      </c>
      <c r="C91" t="s">
        <v>39</v>
      </c>
      <c r="D91">
        <v>1019</v>
      </c>
      <c r="E91" t="s">
        <v>42</v>
      </c>
      <c r="F91">
        <v>5</v>
      </c>
      <c r="G91">
        <v>698</v>
      </c>
    </row>
    <row r="92" spans="1:7" x14ac:dyDescent="0.3">
      <c r="A92" t="s">
        <v>46</v>
      </c>
      <c r="B92" s="3">
        <v>45898.258506944447</v>
      </c>
      <c r="C92" t="s">
        <v>37</v>
      </c>
      <c r="D92">
        <v>1003</v>
      </c>
      <c r="E92" t="s">
        <v>42</v>
      </c>
      <c r="F92">
        <v>3</v>
      </c>
      <c r="G92">
        <v>651</v>
      </c>
    </row>
  </sheetData>
  <mergeCells count="2">
    <mergeCell ref="A1:I1"/>
    <mergeCell ref="J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517F-D75B-4965-B5AB-7BAD2B5B98D7}">
  <dimension ref="A1:E7"/>
  <sheetViews>
    <sheetView workbookViewId="0">
      <selection activeCell="H22" sqref="H22"/>
    </sheetView>
  </sheetViews>
  <sheetFormatPr defaultRowHeight="14.4" x14ac:dyDescent="0.3"/>
  <sheetData>
    <row r="1" spans="1:5" x14ac:dyDescent="0.3">
      <c r="A1" s="1" t="s">
        <v>3</v>
      </c>
      <c r="B1" s="1" t="s">
        <v>113</v>
      </c>
      <c r="C1" s="1" t="s">
        <v>5</v>
      </c>
      <c r="D1" s="1" t="s">
        <v>112</v>
      </c>
      <c r="E1" s="1" t="s">
        <v>111</v>
      </c>
    </row>
    <row r="2" spans="1:5" x14ac:dyDescent="0.3">
      <c r="A2" t="s">
        <v>44</v>
      </c>
      <c r="B2" t="s">
        <v>109</v>
      </c>
      <c r="C2">
        <v>1299</v>
      </c>
      <c r="D2">
        <v>469</v>
      </c>
      <c r="E2">
        <v>0.22</v>
      </c>
    </row>
    <row r="3" spans="1:5" x14ac:dyDescent="0.3">
      <c r="A3" t="s">
        <v>40</v>
      </c>
      <c r="B3" t="s">
        <v>109</v>
      </c>
      <c r="C3">
        <v>1613</v>
      </c>
      <c r="D3">
        <v>492</v>
      </c>
      <c r="E3">
        <v>0.14000000000000001</v>
      </c>
    </row>
    <row r="4" spans="1:5" x14ac:dyDescent="0.3">
      <c r="A4" t="s">
        <v>43</v>
      </c>
      <c r="B4" t="s">
        <v>109</v>
      </c>
      <c r="C4">
        <v>1402</v>
      </c>
      <c r="D4">
        <v>97</v>
      </c>
      <c r="E4">
        <v>0.08</v>
      </c>
    </row>
    <row r="5" spans="1:5" x14ac:dyDescent="0.3">
      <c r="A5" t="s">
        <v>41</v>
      </c>
      <c r="B5" t="s">
        <v>110</v>
      </c>
      <c r="C5">
        <v>106</v>
      </c>
      <c r="D5">
        <v>323</v>
      </c>
      <c r="E5">
        <v>0.1</v>
      </c>
    </row>
    <row r="6" spans="1:5" x14ac:dyDescent="0.3">
      <c r="A6" t="s">
        <v>42</v>
      </c>
      <c r="B6" t="s">
        <v>109</v>
      </c>
      <c r="C6">
        <v>396</v>
      </c>
      <c r="D6">
        <v>463</v>
      </c>
      <c r="E6">
        <v>0.23</v>
      </c>
    </row>
    <row r="7" spans="1:5" x14ac:dyDescent="0.3">
      <c r="A7" t="s">
        <v>45</v>
      </c>
      <c r="B7" t="s">
        <v>108</v>
      </c>
      <c r="C7">
        <v>1635</v>
      </c>
      <c r="D7">
        <v>136</v>
      </c>
      <c r="E7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BC71-65B5-4F10-B5A4-88BB31340703}">
  <dimension ref="A1:D10"/>
  <sheetViews>
    <sheetView workbookViewId="0">
      <selection activeCell="H26" sqref="H26"/>
    </sheetView>
  </sheetViews>
  <sheetFormatPr defaultRowHeight="14.4" x14ac:dyDescent="0.3"/>
  <cols>
    <col min="1" max="1" width="10.5546875" bestFit="1" customWidth="1"/>
  </cols>
  <sheetData>
    <row r="1" spans="1:4" x14ac:dyDescent="0.3">
      <c r="A1" s="4" t="s">
        <v>115</v>
      </c>
      <c r="B1" s="1" t="s">
        <v>116</v>
      </c>
      <c r="C1" s="1" t="s">
        <v>117</v>
      </c>
      <c r="D1" s="1" t="s">
        <v>118</v>
      </c>
    </row>
    <row r="2" spans="1:4" x14ac:dyDescent="0.3">
      <c r="A2" s="3">
        <v>45688</v>
      </c>
      <c r="B2">
        <v>25640</v>
      </c>
      <c r="C2">
        <v>60082</v>
      </c>
      <c r="D2">
        <v>21492</v>
      </c>
    </row>
    <row r="3" spans="1:4" x14ac:dyDescent="0.3">
      <c r="A3" s="3">
        <v>45716</v>
      </c>
      <c r="B3">
        <v>43320</v>
      </c>
      <c r="C3">
        <v>70533</v>
      </c>
      <c r="D3">
        <v>27724</v>
      </c>
    </row>
    <row r="4" spans="1:4" x14ac:dyDescent="0.3">
      <c r="A4" s="3">
        <v>45747</v>
      </c>
      <c r="B4">
        <v>34147</v>
      </c>
      <c r="C4">
        <v>63890</v>
      </c>
      <c r="D4">
        <v>17738</v>
      </c>
    </row>
    <row r="5" spans="1:4" x14ac:dyDescent="0.3">
      <c r="A5" s="3">
        <v>45777</v>
      </c>
      <c r="B5">
        <v>44423</v>
      </c>
      <c r="C5">
        <v>90674</v>
      </c>
      <c r="D5">
        <v>21152</v>
      </c>
    </row>
    <row r="6" spans="1:4" x14ac:dyDescent="0.3">
      <c r="A6" s="3">
        <v>45808</v>
      </c>
      <c r="B6">
        <v>32119</v>
      </c>
      <c r="C6">
        <v>55646</v>
      </c>
      <c r="D6">
        <v>19723</v>
      </c>
    </row>
    <row r="7" spans="1:4" x14ac:dyDescent="0.3">
      <c r="A7" s="3">
        <v>45838</v>
      </c>
      <c r="B7">
        <v>20079</v>
      </c>
      <c r="C7">
        <v>99954</v>
      </c>
      <c r="D7">
        <v>15769</v>
      </c>
    </row>
    <row r="8" spans="1:4" x14ac:dyDescent="0.3">
      <c r="A8" s="3">
        <v>45869</v>
      </c>
      <c r="B8">
        <v>36304</v>
      </c>
      <c r="C8">
        <v>63297</v>
      </c>
      <c r="D8">
        <v>25453</v>
      </c>
    </row>
    <row r="9" spans="1:4" x14ac:dyDescent="0.3">
      <c r="A9" s="3">
        <v>45900</v>
      </c>
      <c r="B9">
        <v>36734</v>
      </c>
      <c r="C9">
        <v>93760</v>
      </c>
      <c r="D9">
        <v>16230</v>
      </c>
    </row>
    <row r="10" spans="1:4" x14ac:dyDescent="0.3">
      <c r="A10" s="3">
        <v>45930</v>
      </c>
      <c r="B10">
        <v>34260</v>
      </c>
      <c r="C10">
        <v>70760</v>
      </c>
      <c r="D10">
        <v>28818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0350-5271-437D-B690-8D799DEC7867}">
  <dimension ref="A1:C92"/>
  <sheetViews>
    <sheetView topLeftCell="A61" workbookViewId="0">
      <selection activeCell="H12" sqref="H12"/>
    </sheetView>
  </sheetViews>
  <sheetFormatPr defaultRowHeight="14.4" x14ac:dyDescent="0.3"/>
  <cols>
    <col min="1" max="1" width="9.44140625" customWidth="1"/>
    <col min="2" max="2" width="13.6640625" customWidth="1"/>
    <col min="3" max="3" width="12.33203125" customWidth="1"/>
  </cols>
  <sheetData>
    <row r="1" spans="1:3" x14ac:dyDescent="0.3">
      <c r="A1" s="8" t="s">
        <v>0</v>
      </c>
      <c r="B1" s="8" t="s">
        <v>120</v>
      </c>
      <c r="C1" s="8" t="s">
        <v>121</v>
      </c>
    </row>
    <row r="2" spans="1:3" x14ac:dyDescent="0.3">
      <c r="A2" s="6" t="s">
        <v>6</v>
      </c>
      <c r="B2" s="6">
        <v>5</v>
      </c>
      <c r="C2" s="6">
        <v>0.01</v>
      </c>
    </row>
    <row r="3" spans="1:3" x14ac:dyDescent="0.3">
      <c r="A3" s="6" t="s">
        <v>7</v>
      </c>
      <c r="B3" s="6">
        <v>2</v>
      </c>
      <c r="C3" s="6">
        <v>0.03</v>
      </c>
    </row>
    <row r="4" spans="1:3" x14ac:dyDescent="0.3">
      <c r="A4" s="6" t="s">
        <v>8</v>
      </c>
      <c r="B4" s="6">
        <v>6</v>
      </c>
      <c r="C4" s="6">
        <v>0.05</v>
      </c>
    </row>
    <row r="5" spans="1:3" x14ac:dyDescent="0.3">
      <c r="A5" s="6" t="s">
        <v>9</v>
      </c>
      <c r="B5" s="6">
        <v>4</v>
      </c>
      <c r="C5" s="6">
        <v>7.0000000000000007E-2</v>
      </c>
    </row>
    <row r="6" spans="1:3" x14ac:dyDescent="0.3">
      <c r="A6" s="6" t="s">
        <v>10</v>
      </c>
      <c r="B6" s="6">
        <v>5</v>
      </c>
      <c r="C6" s="6">
        <v>0.03</v>
      </c>
    </row>
    <row r="7" spans="1:3" x14ac:dyDescent="0.3">
      <c r="A7" s="6" t="s">
        <v>11</v>
      </c>
      <c r="B7" s="6">
        <v>5</v>
      </c>
      <c r="C7" s="6">
        <v>0.06</v>
      </c>
    </row>
    <row r="8" spans="1:3" x14ac:dyDescent="0.3">
      <c r="A8" s="6" t="s">
        <v>12</v>
      </c>
      <c r="B8" s="6">
        <v>4</v>
      </c>
      <c r="C8" s="6">
        <v>0.02</v>
      </c>
    </row>
    <row r="9" spans="1:3" x14ac:dyDescent="0.3">
      <c r="A9" s="6" t="s">
        <v>13</v>
      </c>
      <c r="B9" s="6">
        <v>8</v>
      </c>
      <c r="C9" s="6">
        <v>7.0000000000000007E-2</v>
      </c>
    </row>
    <row r="10" spans="1:3" x14ac:dyDescent="0.3">
      <c r="A10" s="6" t="s">
        <v>14</v>
      </c>
      <c r="B10" s="6">
        <v>2</v>
      </c>
      <c r="C10" s="6">
        <v>0.08</v>
      </c>
    </row>
    <row r="11" spans="1:3" x14ac:dyDescent="0.3">
      <c r="A11" s="6" t="s">
        <v>15</v>
      </c>
      <c r="B11" s="6">
        <v>2</v>
      </c>
      <c r="C11" s="6">
        <v>0.08</v>
      </c>
    </row>
    <row r="12" spans="1:3" x14ac:dyDescent="0.3">
      <c r="A12" s="6" t="s">
        <v>16</v>
      </c>
      <c r="B12" s="6">
        <v>8</v>
      </c>
      <c r="C12" s="6">
        <v>0.06</v>
      </c>
    </row>
    <row r="13" spans="1:3" x14ac:dyDescent="0.3">
      <c r="A13" s="6" t="s">
        <v>17</v>
      </c>
      <c r="B13" s="6">
        <v>8</v>
      </c>
      <c r="C13" s="6">
        <v>0.03</v>
      </c>
    </row>
    <row r="14" spans="1:3" x14ac:dyDescent="0.3">
      <c r="A14" s="6" t="s">
        <v>18</v>
      </c>
      <c r="B14" s="6">
        <v>1</v>
      </c>
      <c r="C14" s="6">
        <v>7.0000000000000007E-2</v>
      </c>
    </row>
    <row r="15" spans="1:3" x14ac:dyDescent="0.3">
      <c r="A15" s="6" t="s">
        <v>19</v>
      </c>
      <c r="B15" s="6">
        <v>3</v>
      </c>
      <c r="C15" s="6">
        <v>0.09</v>
      </c>
    </row>
    <row r="16" spans="1:3" x14ac:dyDescent="0.3">
      <c r="A16" s="6" t="s">
        <v>20</v>
      </c>
      <c r="B16" s="6">
        <v>4</v>
      </c>
      <c r="C16" s="6">
        <v>0.06</v>
      </c>
    </row>
    <row r="17" spans="1:3" x14ac:dyDescent="0.3">
      <c r="A17" s="6" t="s">
        <v>21</v>
      </c>
      <c r="B17" s="6">
        <v>3</v>
      </c>
      <c r="C17" s="6">
        <v>0.1</v>
      </c>
    </row>
    <row r="18" spans="1:3" x14ac:dyDescent="0.3">
      <c r="A18" s="6" t="s">
        <v>22</v>
      </c>
      <c r="B18" s="6">
        <v>6</v>
      </c>
      <c r="C18" s="6">
        <v>0.1</v>
      </c>
    </row>
    <row r="19" spans="1:3" x14ac:dyDescent="0.3">
      <c r="A19" s="6" t="s">
        <v>23</v>
      </c>
      <c r="B19" s="6">
        <v>9</v>
      </c>
      <c r="C19" s="6">
        <v>0.02</v>
      </c>
    </row>
    <row r="20" spans="1:3" x14ac:dyDescent="0.3">
      <c r="A20" s="6" t="s">
        <v>24</v>
      </c>
      <c r="B20" s="6">
        <v>2</v>
      </c>
      <c r="C20" s="6">
        <v>0</v>
      </c>
    </row>
    <row r="21" spans="1:3" x14ac:dyDescent="0.3">
      <c r="A21" s="6" t="s">
        <v>25</v>
      </c>
      <c r="B21" s="6">
        <v>1</v>
      </c>
      <c r="C21" s="6">
        <v>0.02</v>
      </c>
    </row>
    <row r="22" spans="1:3" x14ac:dyDescent="0.3">
      <c r="A22" s="6" t="s">
        <v>26</v>
      </c>
      <c r="B22" s="6">
        <v>8</v>
      </c>
      <c r="C22" s="6">
        <v>0.09</v>
      </c>
    </row>
    <row r="23" spans="1:3" x14ac:dyDescent="0.3">
      <c r="A23" s="6" t="s">
        <v>27</v>
      </c>
      <c r="B23" s="6">
        <v>7</v>
      </c>
      <c r="C23" s="6">
        <v>0.1</v>
      </c>
    </row>
    <row r="24" spans="1:3" x14ac:dyDescent="0.3">
      <c r="A24" s="6" t="s">
        <v>28</v>
      </c>
      <c r="B24" s="6">
        <v>3</v>
      </c>
      <c r="C24" s="6">
        <v>0.02</v>
      </c>
    </row>
    <row r="25" spans="1:3" x14ac:dyDescent="0.3">
      <c r="A25" s="6" t="s">
        <v>29</v>
      </c>
      <c r="B25" s="6">
        <v>1</v>
      </c>
      <c r="C25" s="6">
        <v>0.04</v>
      </c>
    </row>
    <row r="26" spans="1:3" x14ac:dyDescent="0.3">
      <c r="A26" s="6" t="s">
        <v>30</v>
      </c>
      <c r="B26" s="6">
        <v>9</v>
      </c>
      <c r="C26" s="6">
        <v>0.05</v>
      </c>
    </row>
    <row r="27" spans="1:3" x14ac:dyDescent="0.3">
      <c r="A27" s="6" t="s">
        <v>31</v>
      </c>
      <c r="B27" s="6">
        <v>3</v>
      </c>
      <c r="C27" s="6">
        <v>0.03</v>
      </c>
    </row>
    <row r="28" spans="1:3" x14ac:dyDescent="0.3">
      <c r="A28" s="6" t="s">
        <v>32</v>
      </c>
      <c r="B28" s="6">
        <v>6</v>
      </c>
      <c r="C28" s="6">
        <v>0.05</v>
      </c>
    </row>
    <row r="29" spans="1:3" x14ac:dyDescent="0.3">
      <c r="A29" s="6" t="s">
        <v>33</v>
      </c>
      <c r="B29" s="6">
        <v>2</v>
      </c>
      <c r="C29" s="6">
        <v>7.0000000000000007E-2</v>
      </c>
    </row>
    <row r="30" spans="1:3" x14ac:dyDescent="0.3">
      <c r="A30" s="6" t="s">
        <v>34</v>
      </c>
      <c r="B30" s="6">
        <v>9</v>
      </c>
      <c r="C30" s="6">
        <v>0.05</v>
      </c>
    </row>
    <row r="31" spans="1:3" x14ac:dyDescent="0.3">
      <c r="A31" s="6" t="s">
        <v>35</v>
      </c>
      <c r="B31" s="6">
        <v>2</v>
      </c>
      <c r="C31" s="6">
        <v>7.0000000000000007E-2</v>
      </c>
    </row>
    <row r="32" spans="1:3" x14ac:dyDescent="0.3">
      <c r="A32" s="6" t="s">
        <v>105</v>
      </c>
      <c r="B32" s="6">
        <v>6</v>
      </c>
      <c r="C32" s="6">
        <v>0.05</v>
      </c>
    </row>
    <row r="33" spans="1:3" x14ac:dyDescent="0.3">
      <c r="A33" s="6" t="s">
        <v>104</v>
      </c>
      <c r="B33" s="6">
        <v>5</v>
      </c>
      <c r="C33" s="6">
        <v>0</v>
      </c>
    </row>
    <row r="34" spans="1:3" x14ac:dyDescent="0.3">
      <c r="A34" s="6" t="s">
        <v>103</v>
      </c>
      <c r="B34" s="6">
        <v>3</v>
      </c>
      <c r="C34" s="6">
        <v>0.04</v>
      </c>
    </row>
    <row r="35" spans="1:3" x14ac:dyDescent="0.3">
      <c r="A35" s="6" t="s">
        <v>102</v>
      </c>
      <c r="B35" s="6">
        <v>9</v>
      </c>
      <c r="C35" s="6">
        <v>0.05</v>
      </c>
    </row>
    <row r="36" spans="1:3" x14ac:dyDescent="0.3">
      <c r="A36" s="6" t="s">
        <v>101</v>
      </c>
      <c r="B36" s="6">
        <v>4</v>
      </c>
      <c r="C36" s="6">
        <v>0.04</v>
      </c>
    </row>
    <row r="37" spans="1:3" x14ac:dyDescent="0.3">
      <c r="A37" s="6" t="s">
        <v>100</v>
      </c>
      <c r="B37" s="6">
        <v>6</v>
      </c>
      <c r="C37" s="6">
        <v>0.04</v>
      </c>
    </row>
    <row r="38" spans="1:3" x14ac:dyDescent="0.3">
      <c r="A38" s="6" t="s">
        <v>99</v>
      </c>
      <c r="B38" s="6">
        <v>1</v>
      </c>
      <c r="C38" s="6">
        <v>0.05</v>
      </c>
    </row>
    <row r="39" spans="1:3" x14ac:dyDescent="0.3">
      <c r="A39" s="6" t="s">
        <v>98</v>
      </c>
      <c r="B39" s="6">
        <v>4</v>
      </c>
      <c r="C39" s="6">
        <v>0.04</v>
      </c>
    </row>
    <row r="40" spans="1:3" x14ac:dyDescent="0.3">
      <c r="A40" s="6" t="s">
        <v>97</v>
      </c>
      <c r="B40" s="6">
        <v>7</v>
      </c>
      <c r="C40" s="6">
        <v>0.01</v>
      </c>
    </row>
    <row r="41" spans="1:3" x14ac:dyDescent="0.3">
      <c r="A41" s="6" t="s">
        <v>96</v>
      </c>
      <c r="B41" s="6">
        <v>4</v>
      </c>
      <c r="C41" s="6">
        <v>0.03</v>
      </c>
    </row>
    <row r="42" spans="1:3" x14ac:dyDescent="0.3">
      <c r="A42" s="6" t="s">
        <v>95</v>
      </c>
      <c r="B42" s="6">
        <v>5</v>
      </c>
      <c r="C42" s="6">
        <v>0.09</v>
      </c>
    </row>
    <row r="43" spans="1:3" x14ac:dyDescent="0.3">
      <c r="A43" s="6" t="s">
        <v>94</v>
      </c>
      <c r="B43" s="6">
        <v>8</v>
      </c>
      <c r="C43" s="6">
        <v>0</v>
      </c>
    </row>
    <row r="44" spans="1:3" x14ac:dyDescent="0.3">
      <c r="A44" s="6" t="s">
        <v>93</v>
      </c>
      <c r="B44" s="6">
        <v>7</v>
      </c>
      <c r="C44" s="6">
        <v>0</v>
      </c>
    </row>
    <row r="45" spans="1:3" x14ac:dyDescent="0.3">
      <c r="A45" s="6" t="s">
        <v>92</v>
      </c>
      <c r="B45" s="6">
        <v>4</v>
      </c>
      <c r="C45" s="6">
        <v>0.03</v>
      </c>
    </row>
    <row r="46" spans="1:3" x14ac:dyDescent="0.3">
      <c r="A46" s="6" t="s">
        <v>91</v>
      </c>
      <c r="B46" s="6">
        <v>1</v>
      </c>
      <c r="C46" s="6">
        <v>0.06</v>
      </c>
    </row>
    <row r="47" spans="1:3" x14ac:dyDescent="0.3">
      <c r="A47" s="6" t="s">
        <v>90</v>
      </c>
      <c r="B47" s="6">
        <v>5</v>
      </c>
      <c r="C47" s="6">
        <v>0.1</v>
      </c>
    </row>
    <row r="48" spans="1:3" x14ac:dyDescent="0.3">
      <c r="A48" s="6" t="s">
        <v>89</v>
      </c>
      <c r="B48" s="6">
        <v>5</v>
      </c>
      <c r="C48" s="6">
        <v>0.1</v>
      </c>
    </row>
    <row r="49" spans="1:3" x14ac:dyDescent="0.3">
      <c r="A49" s="6" t="s">
        <v>88</v>
      </c>
      <c r="B49" s="6">
        <v>6</v>
      </c>
      <c r="C49" s="6">
        <v>0.1</v>
      </c>
    </row>
    <row r="50" spans="1:3" x14ac:dyDescent="0.3">
      <c r="A50" s="6" t="s">
        <v>87</v>
      </c>
      <c r="B50" s="6">
        <v>8</v>
      </c>
      <c r="C50" s="6">
        <v>0.01</v>
      </c>
    </row>
    <row r="51" spans="1:3" x14ac:dyDescent="0.3">
      <c r="A51" s="6" t="s">
        <v>86</v>
      </c>
      <c r="B51" s="6">
        <v>7</v>
      </c>
      <c r="C51" s="6">
        <v>7.0000000000000007E-2</v>
      </c>
    </row>
    <row r="52" spans="1:3" x14ac:dyDescent="0.3">
      <c r="A52" s="6" t="s">
        <v>85</v>
      </c>
      <c r="B52" s="6">
        <v>7</v>
      </c>
      <c r="C52" s="6">
        <v>0.05</v>
      </c>
    </row>
    <row r="53" spans="1:3" x14ac:dyDescent="0.3">
      <c r="A53" s="6" t="s">
        <v>84</v>
      </c>
      <c r="B53" s="6">
        <v>3</v>
      </c>
      <c r="C53" s="6">
        <v>0.02</v>
      </c>
    </row>
    <row r="54" spans="1:3" x14ac:dyDescent="0.3">
      <c r="A54" s="6" t="s">
        <v>83</v>
      </c>
      <c r="B54" s="6">
        <v>5</v>
      </c>
      <c r="C54" s="6">
        <v>0.09</v>
      </c>
    </row>
    <row r="55" spans="1:3" x14ac:dyDescent="0.3">
      <c r="A55" s="6" t="s">
        <v>82</v>
      </c>
      <c r="B55" s="6">
        <v>3</v>
      </c>
      <c r="C55" s="6">
        <v>0.02</v>
      </c>
    </row>
    <row r="56" spans="1:3" x14ac:dyDescent="0.3">
      <c r="A56" s="6" t="s">
        <v>81</v>
      </c>
      <c r="B56" s="6">
        <v>8</v>
      </c>
      <c r="C56" s="6">
        <v>0.1</v>
      </c>
    </row>
    <row r="57" spans="1:3" x14ac:dyDescent="0.3">
      <c r="A57" s="6" t="s">
        <v>80</v>
      </c>
      <c r="B57" s="6">
        <v>2</v>
      </c>
      <c r="C57" s="6">
        <v>0.06</v>
      </c>
    </row>
    <row r="58" spans="1:3" x14ac:dyDescent="0.3">
      <c r="A58" s="6" t="s">
        <v>79</v>
      </c>
      <c r="B58" s="6">
        <v>7</v>
      </c>
      <c r="C58" s="6">
        <v>0.02</v>
      </c>
    </row>
    <row r="59" spans="1:3" x14ac:dyDescent="0.3">
      <c r="A59" s="6" t="s">
        <v>78</v>
      </c>
      <c r="B59" s="6">
        <v>7</v>
      </c>
      <c r="C59" s="6">
        <v>0.04</v>
      </c>
    </row>
    <row r="60" spans="1:3" x14ac:dyDescent="0.3">
      <c r="A60" s="6" t="s">
        <v>77</v>
      </c>
      <c r="B60" s="6">
        <v>1</v>
      </c>
      <c r="C60" s="6">
        <v>0.02</v>
      </c>
    </row>
    <row r="61" spans="1:3" x14ac:dyDescent="0.3">
      <c r="A61" s="6" t="s">
        <v>76</v>
      </c>
      <c r="B61" s="6">
        <v>8</v>
      </c>
      <c r="C61" s="6">
        <v>0.04</v>
      </c>
    </row>
    <row r="62" spans="1:3" x14ac:dyDescent="0.3">
      <c r="A62" s="6" t="s">
        <v>75</v>
      </c>
      <c r="B62" s="6">
        <v>3</v>
      </c>
      <c r="C62" s="6">
        <v>0.06</v>
      </c>
    </row>
    <row r="63" spans="1:3" x14ac:dyDescent="0.3">
      <c r="A63" s="6" t="s">
        <v>74</v>
      </c>
      <c r="B63" s="6">
        <v>4</v>
      </c>
      <c r="C63" s="6">
        <v>7.0000000000000007E-2</v>
      </c>
    </row>
    <row r="64" spans="1:3" x14ac:dyDescent="0.3">
      <c r="A64" s="6" t="s">
        <v>73</v>
      </c>
      <c r="B64" s="6">
        <v>6</v>
      </c>
      <c r="C64" s="6">
        <v>0.05</v>
      </c>
    </row>
    <row r="65" spans="1:3" x14ac:dyDescent="0.3">
      <c r="A65" s="6" t="s">
        <v>72</v>
      </c>
      <c r="B65" s="6">
        <v>5</v>
      </c>
      <c r="C65" s="6">
        <v>0.03</v>
      </c>
    </row>
    <row r="66" spans="1:3" x14ac:dyDescent="0.3">
      <c r="A66" s="6" t="s">
        <v>71</v>
      </c>
      <c r="B66" s="6">
        <v>3</v>
      </c>
      <c r="C66" s="6">
        <v>0.06</v>
      </c>
    </row>
    <row r="67" spans="1:3" x14ac:dyDescent="0.3">
      <c r="A67" s="6" t="s">
        <v>70</v>
      </c>
      <c r="B67" s="6">
        <v>5</v>
      </c>
      <c r="C67" s="6">
        <v>0.04</v>
      </c>
    </row>
    <row r="68" spans="1:3" x14ac:dyDescent="0.3">
      <c r="A68" s="6" t="s">
        <v>69</v>
      </c>
      <c r="B68" s="6">
        <v>4</v>
      </c>
      <c r="C68" s="6">
        <v>0.04</v>
      </c>
    </row>
    <row r="69" spans="1:3" x14ac:dyDescent="0.3">
      <c r="A69" s="6" t="s">
        <v>68</v>
      </c>
      <c r="B69" s="6">
        <v>8</v>
      </c>
      <c r="C69" s="6">
        <v>0.03</v>
      </c>
    </row>
    <row r="70" spans="1:3" x14ac:dyDescent="0.3">
      <c r="A70" s="6" t="s">
        <v>67</v>
      </c>
      <c r="B70" s="6">
        <v>1</v>
      </c>
      <c r="C70" s="6">
        <v>0.02</v>
      </c>
    </row>
    <row r="71" spans="1:3" x14ac:dyDescent="0.3">
      <c r="A71" s="6" t="s">
        <v>66</v>
      </c>
      <c r="B71" s="6">
        <v>1</v>
      </c>
      <c r="C71" s="6">
        <v>0.05</v>
      </c>
    </row>
    <row r="72" spans="1:3" x14ac:dyDescent="0.3">
      <c r="A72" s="6" t="s">
        <v>65</v>
      </c>
      <c r="B72" s="6">
        <v>6</v>
      </c>
      <c r="C72" s="6">
        <v>0.05</v>
      </c>
    </row>
    <row r="73" spans="1:3" x14ac:dyDescent="0.3">
      <c r="A73" s="6" t="s">
        <v>64</v>
      </c>
      <c r="B73" s="6">
        <v>7</v>
      </c>
      <c r="C73" s="6">
        <v>0.09</v>
      </c>
    </row>
    <row r="74" spans="1:3" x14ac:dyDescent="0.3">
      <c r="A74" s="6" t="s">
        <v>63</v>
      </c>
      <c r="B74" s="6">
        <v>7</v>
      </c>
      <c r="C74" s="6">
        <v>7.0000000000000007E-2</v>
      </c>
    </row>
    <row r="75" spans="1:3" x14ac:dyDescent="0.3">
      <c r="A75" s="6" t="s">
        <v>62</v>
      </c>
      <c r="B75" s="6">
        <v>6</v>
      </c>
      <c r="C75" s="6">
        <v>0.08</v>
      </c>
    </row>
    <row r="76" spans="1:3" x14ac:dyDescent="0.3">
      <c r="A76" s="6" t="s">
        <v>61</v>
      </c>
      <c r="B76" s="6">
        <v>7</v>
      </c>
      <c r="C76" s="6">
        <v>0.04</v>
      </c>
    </row>
    <row r="77" spans="1:3" x14ac:dyDescent="0.3">
      <c r="A77" s="6" t="s">
        <v>60</v>
      </c>
      <c r="B77" s="6">
        <v>5</v>
      </c>
      <c r="C77" s="6">
        <v>0.03</v>
      </c>
    </row>
    <row r="78" spans="1:3" x14ac:dyDescent="0.3">
      <c r="A78" s="6" t="s">
        <v>59</v>
      </c>
      <c r="B78" s="6">
        <v>8</v>
      </c>
      <c r="C78" s="6">
        <v>7.0000000000000007E-2</v>
      </c>
    </row>
    <row r="79" spans="1:3" x14ac:dyDescent="0.3">
      <c r="A79" s="6" t="s">
        <v>58</v>
      </c>
      <c r="B79" s="6">
        <v>4</v>
      </c>
      <c r="C79" s="6">
        <v>7.0000000000000007E-2</v>
      </c>
    </row>
    <row r="80" spans="1:3" x14ac:dyDescent="0.3">
      <c r="A80" s="6" t="s">
        <v>57</v>
      </c>
      <c r="B80" s="6">
        <v>3</v>
      </c>
      <c r="C80" s="6">
        <v>0.01</v>
      </c>
    </row>
    <row r="81" spans="1:3" x14ac:dyDescent="0.3">
      <c r="A81" s="6" t="s">
        <v>56</v>
      </c>
      <c r="B81" s="6">
        <v>4</v>
      </c>
      <c r="C81" s="6">
        <v>0.01</v>
      </c>
    </row>
    <row r="82" spans="1:3" x14ac:dyDescent="0.3">
      <c r="A82" s="6" t="s">
        <v>55</v>
      </c>
      <c r="B82" s="6">
        <v>9</v>
      </c>
      <c r="C82" s="6">
        <v>0.05</v>
      </c>
    </row>
    <row r="83" spans="1:3" x14ac:dyDescent="0.3">
      <c r="A83" s="6" t="s">
        <v>54</v>
      </c>
      <c r="B83" s="6">
        <v>8</v>
      </c>
      <c r="C83" s="6">
        <v>0.02</v>
      </c>
    </row>
    <row r="84" spans="1:3" x14ac:dyDescent="0.3">
      <c r="A84" s="6" t="s">
        <v>53</v>
      </c>
      <c r="B84" s="6">
        <v>2</v>
      </c>
      <c r="C84" s="6">
        <v>0.1</v>
      </c>
    </row>
    <row r="85" spans="1:3" x14ac:dyDescent="0.3">
      <c r="A85" s="6" t="s">
        <v>52</v>
      </c>
      <c r="B85" s="6">
        <v>6</v>
      </c>
      <c r="C85" s="6">
        <v>0.08</v>
      </c>
    </row>
    <row r="86" spans="1:3" x14ac:dyDescent="0.3">
      <c r="A86" s="6" t="s">
        <v>51</v>
      </c>
      <c r="B86" s="6">
        <v>4</v>
      </c>
      <c r="C86" s="6">
        <v>0.05</v>
      </c>
    </row>
    <row r="87" spans="1:3" x14ac:dyDescent="0.3">
      <c r="A87" s="6" t="s">
        <v>50</v>
      </c>
      <c r="B87" s="6">
        <v>1</v>
      </c>
      <c r="C87" s="6">
        <v>0.02</v>
      </c>
    </row>
    <row r="88" spans="1:3" x14ac:dyDescent="0.3">
      <c r="A88" s="6" t="s">
        <v>49</v>
      </c>
      <c r="B88" s="6">
        <v>7</v>
      </c>
      <c r="C88" s="6">
        <v>0.01</v>
      </c>
    </row>
    <row r="89" spans="1:3" x14ac:dyDescent="0.3">
      <c r="A89" s="6" t="s">
        <v>48</v>
      </c>
      <c r="B89" s="6">
        <v>3</v>
      </c>
      <c r="C89" s="6">
        <v>0.1</v>
      </c>
    </row>
    <row r="90" spans="1:3" x14ac:dyDescent="0.3">
      <c r="A90" s="6" t="s">
        <v>47</v>
      </c>
      <c r="B90" s="6">
        <v>4</v>
      </c>
      <c r="C90" s="6">
        <v>7.0000000000000007E-2</v>
      </c>
    </row>
    <row r="91" spans="1:3" x14ac:dyDescent="0.3">
      <c r="A91" s="6" t="s">
        <v>46</v>
      </c>
      <c r="B91" s="6">
        <v>5</v>
      </c>
      <c r="C91" s="6">
        <v>0.09</v>
      </c>
    </row>
    <row r="92" spans="1:3" x14ac:dyDescent="0.3">
      <c r="A92" s="6" t="s">
        <v>167</v>
      </c>
      <c r="B92" s="6">
        <f>SUBTOTAL(101,Table10[DeliveryDays])</f>
        <v>4.8888888888888893</v>
      </c>
      <c r="C92" s="6">
        <f>SUBTOTAL(101,Table10[ReturnRate])</f>
        <v>5.0555555555555527E-2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EE0B-6C8B-401E-ADB1-905CCFF74D16}">
  <dimension ref="A1:G29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sheetData>
    <row r="1" spans="1:7" x14ac:dyDescent="0.3">
      <c r="A1" s="7" t="s">
        <v>2</v>
      </c>
      <c r="B1" s="7" t="s">
        <v>122</v>
      </c>
      <c r="C1" s="7" t="s">
        <v>123</v>
      </c>
      <c r="D1" s="7" t="s">
        <v>124</v>
      </c>
      <c r="E1" s="7" t="s">
        <v>1</v>
      </c>
      <c r="F1" s="5" t="s">
        <v>125</v>
      </c>
      <c r="G1" s="6"/>
    </row>
    <row r="2" spans="1:7" x14ac:dyDescent="0.3">
      <c r="A2" s="6">
        <v>1001</v>
      </c>
      <c r="B2" s="6" t="s">
        <v>126</v>
      </c>
      <c r="C2" s="6" t="s">
        <v>127</v>
      </c>
      <c r="D2" s="6" t="s">
        <v>128</v>
      </c>
      <c r="E2" s="6" t="s">
        <v>38</v>
      </c>
      <c r="F2" s="6" t="str" cm="1">
        <f t="array" ref="F2:G29">PROPER(B2:C29)</f>
        <v>Naledi</v>
      </c>
      <c r="G2" s="6" t="str">
        <v>Pillay</v>
      </c>
    </row>
    <row r="3" spans="1:7" x14ac:dyDescent="0.3">
      <c r="A3" s="6">
        <v>1002</v>
      </c>
      <c r="B3" s="6" t="s">
        <v>129</v>
      </c>
      <c r="C3" s="6" t="s">
        <v>130</v>
      </c>
      <c r="D3" s="6" t="s">
        <v>131</v>
      </c>
      <c r="E3" s="6" t="s">
        <v>38</v>
      </c>
      <c r="F3" s="6" t="str">
        <v>Michael</v>
      </c>
      <c r="G3" s="6" t="str">
        <v>Van Wyk</v>
      </c>
    </row>
    <row r="4" spans="1:7" x14ac:dyDescent="0.3">
      <c r="A4" s="6">
        <v>1003</v>
      </c>
      <c r="B4" s="6" t="s">
        <v>126</v>
      </c>
      <c r="C4" s="6" t="s">
        <v>132</v>
      </c>
      <c r="D4" s="6" t="s">
        <v>133</v>
      </c>
      <c r="E4" s="6" t="s">
        <v>38</v>
      </c>
      <c r="F4" s="6" t="str">
        <v>Naledi</v>
      </c>
      <c r="G4" s="6" t="str">
        <v>Botha</v>
      </c>
    </row>
    <row r="5" spans="1:7" x14ac:dyDescent="0.3">
      <c r="A5" s="6">
        <v>1004</v>
      </c>
      <c r="B5" s="6" t="s">
        <v>126</v>
      </c>
      <c r="C5" s="6" t="s">
        <v>132</v>
      </c>
      <c r="D5" s="6" t="s">
        <v>133</v>
      </c>
      <c r="E5" s="6" t="s">
        <v>39</v>
      </c>
      <c r="F5" s="6" t="str">
        <v>Naledi</v>
      </c>
      <c r="G5" s="6" t="str">
        <v>Botha</v>
      </c>
    </row>
    <row r="6" spans="1:7" x14ac:dyDescent="0.3">
      <c r="A6" s="6">
        <v>1005</v>
      </c>
      <c r="B6" s="6" t="s">
        <v>129</v>
      </c>
      <c r="C6" s="6" t="s">
        <v>134</v>
      </c>
      <c r="D6" s="6" t="s">
        <v>135</v>
      </c>
      <c r="E6" s="6" t="s">
        <v>39</v>
      </c>
      <c r="F6" s="6" t="str">
        <v>Michael</v>
      </c>
      <c r="G6" s="6" t="str">
        <v>Johnson</v>
      </c>
    </row>
    <row r="7" spans="1:7" x14ac:dyDescent="0.3">
      <c r="A7" s="6">
        <v>1006</v>
      </c>
      <c r="B7" s="6" t="s">
        <v>136</v>
      </c>
      <c r="C7" s="6" t="s">
        <v>134</v>
      </c>
      <c r="D7" s="6" t="s">
        <v>137</v>
      </c>
      <c r="E7" s="6" t="s">
        <v>36</v>
      </c>
      <c r="F7" s="6" t="str">
        <v>Emily</v>
      </c>
      <c r="G7" s="6" t="str">
        <v>Johnson</v>
      </c>
    </row>
    <row r="8" spans="1:7" x14ac:dyDescent="0.3">
      <c r="A8" s="6">
        <v>1007</v>
      </c>
      <c r="B8" s="6" t="s">
        <v>129</v>
      </c>
      <c r="C8" s="6" t="s">
        <v>138</v>
      </c>
      <c r="D8" s="6" t="s">
        <v>139</v>
      </c>
      <c r="E8" s="6" t="s">
        <v>37</v>
      </c>
      <c r="F8" s="6" t="str">
        <v>Michael</v>
      </c>
      <c r="G8" s="6" t="str">
        <v>Nguyen</v>
      </c>
    </row>
    <row r="9" spans="1:7" x14ac:dyDescent="0.3">
      <c r="A9" s="6">
        <v>1008</v>
      </c>
      <c r="B9" s="6" t="s">
        <v>140</v>
      </c>
      <c r="C9" s="6" t="s">
        <v>134</v>
      </c>
      <c r="D9" s="6" t="s">
        <v>141</v>
      </c>
      <c r="E9" s="6" t="s">
        <v>38</v>
      </c>
      <c r="F9" s="6" t="str">
        <v>Sipho</v>
      </c>
      <c r="G9" s="6" t="str">
        <v>Johnson</v>
      </c>
    </row>
    <row r="10" spans="1:7" x14ac:dyDescent="0.3">
      <c r="A10" s="6">
        <v>1009</v>
      </c>
      <c r="B10" s="6" t="s">
        <v>142</v>
      </c>
      <c r="C10" s="6" t="s">
        <v>138</v>
      </c>
      <c r="D10" s="6" t="s">
        <v>143</v>
      </c>
      <c r="E10" s="6" t="s">
        <v>39</v>
      </c>
      <c r="F10" s="6" t="str">
        <v>Sarah</v>
      </c>
      <c r="G10" s="6" t="str">
        <v>Nguyen</v>
      </c>
    </row>
    <row r="11" spans="1:7" x14ac:dyDescent="0.3">
      <c r="A11" s="6">
        <v>1010</v>
      </c>
      <c r="B11" s="6" t="s">
        <v>144</v>
      </c>
      <c r="C11" s="6" t="s">
        <v>145</v>
      </c>
      <c r="D11" s="6" t="s">
        <v>146</v>
      </c>
      <c r="E11" s="6" t="s">
        <v>38</v>
      </c>
      <c r="F11" s="6" t="str">
        <v>John</v>
      </c>
      <c r="G11" s="6" t="str">
        <v>Brown</v>
      </c>
    </row>
    <row r="12" spans="1:7" x14ac:dyDescent="0.3">
      <c r="A12" s="6">
        <v>1011</v>
      </c>
      <c r="B12" s="6" t="s">
        <v>144</v>
      </c>
      <c r="C12" s="6" t="s">
        <v>147</v>
      </c>
      <c r="D12" s="6" t="s">
        <v>148</v>
      </c>
      <c r="E12" s="6" t="s">
        <v>36</v>
      </c>
      <c r="F12" s="6" t="str">
        <v>John</v>
      </c>
      <c r="G12" s="6" t="str">
        <v>Smith</v>
      </c>
    </row>
    <row r="13" spans="1:7" x14ac:dyDescent="0.3">
      <c r="A13" s="6">
        <v>1012</v>
      </c>
      <c r="B13" s="6" t="s">
        <v>126</v>
      </c>
      <c r="C13" s="6" t="s">
        <v>130</v>
      </c>
      <c r="D13" s="6" t="s">
        <v>149</v>
      </c>
      <c r="E13" s="6" t="s">
        <v>38</v>
      </c>
      <c r="F13" s="6" t="str">
        <v>Naledi</v>
      </c>
      <c r="G13" s="6" t="str">
        <v>Van Wyk</v>
      </c>
    </row>
    <row r="14" spans="1:7" x14ac:dyDescent="0.3">
      <c r="A14" s="6">
        <v>1013</v>
      </c>
      <c r="B14" s="6" t="s">
        <v>140</v>
      </c>
      <c r="C14" s="6" t="s">
        <v>130</v>
      </c>
      <c r="D14" s="6" t="s">
        <v>150</v>
      </c>
      <c r="E14" s="6" t="s">
        <v>36</v>
      </c>
      <c r="F14" s="6" t="str">
        <v>Sipho</v>
      </c>
      <c r="G14" s="6" t="str">
        <v>Van Wyk</v>
      </c>
    </row>
    <row r="15" spans="1:7" x14ac:dyDescent="0.3">
      <c r="A15" s="6">
        <v>1014</v>
      </c>
      <c r="B15" s="6" t="s">
        <v>144</v>
      </c>
      <c r="C15" s="6" t="s">
        <v>151</v>
      </c>
      <c r="D15" s="6" t="s">
        <v>152</v>
      </c>
      <c r="E15" s="6" t="s">
        <v>38</v>
      </c>
      <c r="F15" s="6" t="str">
        <v>John</v>
      </c>
      <c r="G15" s="6" t="str">
        <v>Mlambo</v>
      </c>
    </row>
    <row r="16" spans="1:7" x14ac:dyDescent="0.3">
      <c r="A16" s="6">
        <v>1015</v>
      </c>
      <c r="B16" s="6" t="s">
        <v>144</v>
      </c>
      <c r="C16" s="6" t="s">
        <v>147</v>
      </c>
      <c r="D16" s="6" t="s">
        <v>148</v>
      </c>
      <c r="E16" s="6" t="s">
        <v>36</v>
      </c>
      <c r="F16" s="6" t="str">
        <v>John</v>
      </c>
      <c r="G16" s="6" t="str">
        <v>Smith</v>
      </c>
    </row>
    <row r="17" spans="1:7" x14ac:dyDescent="0.3">
      <c r="A17" s="6">
        <v>1016</v>
      </c>
      <c r="B17" s="6" t="s">
        <v>140</v>
      </c>
      <c r="C17" s="6" t="s">
        <v>138</v>
      </c>
      <c r="D17" s="6" t="s">
        <v>153</v>
      </c>
      <c r="E17" s="6" t="s">
        <v>37</v>
      </c>
      <c r="F17" s="6" t="str">
        <v>Sipho</v>
      </c>
      <c r="G17" s="6" t="str">
        <v>Nguyen</v>
      </c>
    </row>
    <row r="18" spans="1:7" x14ac:dyDescent="0.3">
      <c r="A18" s="6">
        <v>1017</v>
      </c>
      <c r="B18" s="6" t="s">
        <v>140</v>
      </c>
      <c r="C18" s="6" t="s">
        <v>147</v>
      </c>
      <c r="D18" s="6" t="s">
        <v>154</v>
      </c>
      <c r="E18" s="6" t="s">
        <v>39</v>
      </c>
      <c r="F18" s="6" t="str">
        <v>Sipho</v>
      </c>
      <c r="G18" s="6" t="str">
        <v>Smith</v>
      </c>
    </row>
    <row r="19" spans="1:7" x14ac:dyDescent="0.3">
      <c r="A19" s="6">
        <v>1018</v>
      </c>
      <c r="B19" s="6" t="s">
        <v>129</v>
      </c>
      <c r="C19" s="6" t="s">
        <v>151</v>
      </c>
      <c r="D19" s="6" t="s">
        <v>155</v>
      </c>
      <c r="E19" s="6" t="s">
        <v>36</v>
      </c>
      <c r="F19" s="6" t="str">
        <v>Michael</v>
      </c>
      <c r="G19" s="6" t="str">
        <v>Mlambo</v>
      </c>
    </row>
    <row r="20" spans="1:7" x14ac:dyDescent="0.3">
      <c r="A20" s="6">
        <v>1019</v>
      </c>
      <c r="B20" s="6" t="s">
        <v>126</v>
      </c>
      <c r="C20" s="6" t="s">
        <v>138</v>
      </c>
      <c r="D20" s="6" t="s">
        <v>156</v>
      </c>
      <c r="E20" s="6" t="s">
        <v>39</v>
      </c>
      <c r="F20" s="6" t="str">
        <v>Naledi</v>
      </c>
      <c r="G20" s="6" t="str">
        <v>Nguyen</v>
      </c>
    </row>
    <row r="21" spans="1:7" x14ac:dyDescent="0.3">
      <c r="A21" s="6">
        <v>1020</v>
      </c>
      <c r="B21" s="6" t="s">
        <v>157</v>
      </c>
      <c r="C21" s="6" t="s">
        <v>130</v>
      </c>
      <c r="D21" s="6" t="s">
        <v>158</v>
      </c>
      <c r="E21" s="6" t="s">
        <v>37</v>
      </c>
      <c r="F21" s="6" t="str">
        <v>David</v>
      </c>
      <c r="G21" s="6" t="str">
        <v>Van Wyk</v>
      </c>
    </row>
    <row r="22" spans="1:7" x14ac:dyDescent="0.3">
      <c r="A22" s="6">
        <v>1021</v>
      </c>
      <c r="B22" s="6" t="s">
        <v>159</v>
      </c>
      <c r="C22" s="6" t="s">
        <v>132</v>
      </c>
      <c r="D22" s="6" t="s">
        <v>160</v>
      </c>
      <c r="E22" s="6" t="s">
        <v>36</v>
      </c>
      <c r="F22" s="6" t="str">
        <v>Thabo</v>
      </c>
      <c r="G22" s="6" t="str">
        <v>Botha</v>
      </c>
    </row>
    <row r="23" spans="1:7" x14ac:dyDescent="0.3">
      <c r="A23" s="6">
        <v>1022</v>
      </c>
      <c r="B23" s="6" t="s">
        <v>140</v>
      </c>
      <c r="C23" s="6" t="s">
        <v>130</v>
      </c>
      <c r="D23" s="6" t="s">
        <v>150</v>
      </c>
      <c r="E23" s="6" t="s">
        <v>37</v>
      </c>
      <c r="F23" s="6" t="str">
        <v>Sipho</v>
      </c>
      <c r="G23" s="6" t="str">
        <v>Van Wyk</v>
      </c>
    </row>
    <row r="24" spans="1:7" x14ac:dyDescent="0.3">
      <c r="A24" s="6">
        <v>1023</v>
      </c>
      <c r="B24" s="6" t="s">
        <v>161</v>
      </c>
      <c r="C24" s="6" t="s">
        <v>162</v>
      </c>
      <c r="D24" s="6" t="s">
        <v>163</v>
      </c>
      <c r="E24" s="6" t="s">
        <v>37</v>
      </c>
      <c r="F24" s="6" t="str">
        <v>Lerato</v>
      </c>
      <c r="G24" s="6" t="str">
        <v>Naidoo</v>
      </c>
    </row>
    <row r="25" spans="1:7" x14ac:dyDescent="0.3">
      <c r="A25" s="6">
        <v>1024</v>
      </c>
      <c r="B25" s="6" t="s">
        <v>164</v>
      </c>
      <c r="C25" s="6" t="s">
        <v>145</v>
      </c>
      <c r="D25" s="6" t="s">
        <v>165</v>
      </c>
      <c r="E25" s="6" t="s">
        <v>38</v>
      </c>
      <c r="F25" s="6" t="str">
        <v>Aisha</v>
      </c>
      <c r="G25" s="6" t="str">
        <v>Brown</v>
      </c>
    </row>
    <row r="26" spans="1:7" x14ac:dyDescent="0.3">
      <c r="A26" s="6">
        <v>1025</v>
      </c>
      <c r="B26" s="6" t="s">
        <v>161</v>
      </c>
      <c r="C26" s="6" t="s">
        <v>130</v>
      </c>
      <c r="D26" s="6" t="s">
        <v>166</v>
      </c>
      <c r="E26" s="6" t="s">
        <v>38</v>
      </c>
      <c r="F26" s="6" t="str">
        <v>Lerato</v>
      </c>
      <c r="G26" s="6" t="str">
        <v>Van Wyk</v>
      </c>
    </row>
    <row r="27" spans="1:7" x14ac:dyDescent="0.3">
      <c r="A27" s="6">
        <v>1015</v>
      </c>
      <c r="B27" s="6" t="s">
        <v>144</v>
      </c>
      <c r="C27" s="6" t="s">
        <v>147</v>
      </c>
      <c r="D27" s="6" t="s">
        <v>148</v>
      </c>
      <c r="E27" s="6" t="s">
        <v>36</v>
      </c>
      <c r="F27" s="6" t="str">
        <v>John</v>
      </c>
      <c r="G27" s="6" t="str">
        <v>Smith</v>
      </c>
    </row>
    <row r="28" spans="1:7" x14ac:dyDescent="0.3">
      <c r="A28" s="6">
        <v>1014</v>
      </c>
      <c r="B28" s="6" t="s">
        <v>144</v>
      </c>
      <c r="C28" s="6" t="s">
        <v>151</v>
      </c>
      <c r="D28" s="6" t="s">
        <v>152</v>
      </c>
      <c r="E28" s="6" t="s">
        <v>38</v>
      </c>
      <c r="F28" s="6" t="str">
        <v>John</v>
      </c>
      <c r="G28" s="6" t="str">
        <v>Mlambo</v>
      </c>
    </row>
    <row r="29" spans="1:7" x14ac:dyDescent="0.3">
      <c r="A29" s="6">
        <v>1018</v>
      </c>
      <c r="B29" s="6" t="s">
        <v>129</v>
      </c>
      <c r="C29" s="6" t="s">
        <v>151</v>
      </c>
      <c r="D29" s="6" t="s">
        <v>155</v>
      </c>
      <c r="E29" s="6" t="s">
        <v>36</v>
      </c>
      <c r="F29" s="6" t="str">
        <v>Michael</v>
      </c>
      <c r="G29" s="6" t="str">
        <v>Mlambo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B7AFFE-5D1D-4C54-B226-4D018DAC9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Data</vt:lpstr>
      <vt:lpstr>Sales Data</vt:lpstr>
      <vt:lpstr>Products</vt:lpstr>
      <vt:lpstr>Finance_Data</vt:lpstr>
      <vt:lpstr>Operational_Data</vt:lpstr>
      <vt:lpstr>Customer_List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Oratile Motseo</dc:creator>
  <cp:lastModifiedBy>Oratile Motseo</cp:lastModifiedBy>
  <dcterms:created xsi:type="dcterms:W3CDTF">2025-09-09T13:20:14Z</dcterms:created>
  <dcterms:modified xsi:type="dcterms:W3CDTF">2026-08-07T12:48:16Z</dcterms:modified>
</cp:coreProperties>
</file>